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hrey\Downloads\vehicle_parking_system\vehicle_parking_system\docs\"/>
    </mc:Choice>
  </mc:AlternateContent>
  <xr:revisionPtr revIDLastSave="0" documentId="13_ncr:1_{A7BAA379-EBAF-4BE2-8EEF-67B4F5BDE085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ummary" sheetId="1" r:id="rId1"/>
    <sheet name="Test Cases" sheetId="2" r:id="rId2"/>
    <sheet name="Automated Tests" sheetId="3" r:id="rId3"/>
    <sheet name="RTM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6" i="4" l="1"/>
  <c r="F26" i="4"/>
  <c r="F23" i="4"/>
  <c r="G29" i="2"/>
  <c r="J28" i="2"/>
  <c r="F30" i="4" s="1"/>
  <c r="G28" i="2"/>
  <c r="J27" i="2"/>
  <c r="F28" i="4" s="1"/>
  <c r="G27" i="2"/>
  <c r="J26" i="2"/>
  <c r="F27" i="4" s="1"/>
  <c r="G26" i="2"/>
  <c r="J25" i="2"/>
  <c r="G25" i="2"/>
  <c r="J24" i="2"/>
  <c r="F24" i="4" s="1"/>
  <c r="G24" i="2"/>
  <c r="G23" i="2"/>
  <c r="G23" i="4" s="1"/>
  <c r="J22" i="2"/>
  <c r="F22" i="4" s="1"/>
  <c r="G22" i="2"/>
  <c r="J21" i="2"/>
  <c r="F21" i="4" s="1"/>
  <c r="G21" i="2"/>
  <c r="J20" i="2"/>
  <c r="F20" i="4" s="1"/>
  <c r="G20" i="2"/>
  <c r="J19" i="2"/>
  <c r="F19" i="4" s="1"/>
  <c r="G19" i="2"/>
  <c r="J18" i="2"/>
  <c r="F18" i="4" s="1"/>
  <c r="I18" i="2"/>
  <c r="G18" i="2"/>
  <c r="G18" i="4" s="1"/>
  <c r="J17" i="2"/>
  <c r="G17" i="2"/>
  <c r="J16" i="2"/>
  <c r="F16" i="4" s="1"/>
  <c r="G16" i="2"/>
  <c r="J15" i="2"/>
  <c r="F15" i="4" s="1"/>
  <c r="G15" i="2"/>
  <c r="J14" i="2"/>
  <c r="F14" i="4" s="1"/>
  <c r="G14" i="2"/>
  <c r="J13" i="2"/>
  <c r="F13" i="4" s="1"/>
  <c r="G13" i="2"/>
  <c r="J12" i="2"/>
  <c r="F12" i="4" s="1"/>
  <c r="G12" i="2"/>
  <c r="J11" i="2"/>
  <c r="F11" i="4" s="1"/>
  <c r="G11" i="2"/>
  <c r="J10" i="2"/>
  <c r="F10" i="4" s="1"/>
  <c r="G10" i="2"/>
  <c r="J9" i="2"/>
  <c r="F9" i="4" s="1"/>
  <c r="G9" i="2"/>
  <c r="J8" i="2"/>
  <c r="F8" i="4" s="1"/>
  <c r="G8" i="2"/>
  <c r="J7" i="2"/>
  <c r="F7" i="4" s="1"/>
  <c r="G7" i="2"/>
  <c r="J6" i="2"/>
  <c r="F6" i="4" s="1"/>
  <c r="G6" i="2"/>
  <c r="J5" i="2"/>
  <c r="G5" i="2"/>
  <c r="B16" i="1"/>
  <c r="B13" i="1"/>
  <c r="B12" i="1"/>
  <c r="B3" i="1"/>
  <c r="G30" i="4" l="1"/>
  <c r="I28" i="2"/>
  <c r="G28" i="4"/>
  <c r="I27" i="2"/>
  <c r="G27" i="4"/>
  <c r="I26" i="2"/>
  <c r="F29" i="4"/>
  <c r="F25" i="4"/>
  <c r="G29" i="4"/>
  <c r="G25" i="4"/>
  <c r="I25" i="2"/>
  <c r="G24" i="4"/>
  <c r="I24" i="2"/>
  <c r="I22" i="2"/>
  <c r="G22" i="4"/>
  <c r="I21" i="2"/>
  <c r="G21" i="4"/>
  <c r="G20" i="4"/>
  <c r="I20" i="2"/>
  <c r="G19" i="4"/>
  <c r="I19" i="2"/>
  <c r="F31" i="4"/>
  <c r="F17" i="4"/>
  <c r="I17" i="2"/>
  <c r="G31" i="4"/>
  <c r="G17" i="4"/>
  <c r="I16" i="2"/>
  <c r="G16" i="4"/>
  <c r="G15" i="4"/>
  <c r="I15" i="2"/>
  <c r="I14" i="2"/>
  <c r="G14" i="4"/>
  <c r="I13" i="2"/>
  <c r="G13" i="4"/>
  <c r="I12" i="2"/>
  <c r="G12" i="4"/>
  <c r="I11" i="2"/>
  <c r="G11" i="4"/>
  <c r="G10" i="4"/>
  <c r="I10" i="2"/>
  <c r="G9" i="4"/>
  <c r="I9" i="2"/>
  <c r="G8" i="4"/>
  <c r="I8" i="2"/>
  <c r="G7" i="4"/>
  <c r="I7" i="2"/>
  <c r="G6" i="4"/>
  <c r="I6" i="2"/>
  <c r="B4" i="1"/>
  <c r="F5" i="4"/>
  <c r="B5" i="1"/>
  <c r="B6" i="1"/>
  <c r="I5" i="2"/>
  <c r="G5" i="4"/>
  <c r="B8" i="1" l="1"/>
  <c r="B7" i="1"/>
  <c r="B17" i="1"/>
  <c r="B18" i="1"/>
</calcChain>
</file>

<file path=xl/sharedStrings.xml><?xml version="1.0" encoding="utf-8"?>
<sst xmlns="http://schemas.openxmlformats.org/spreadsheetml/2006/main" count="816" uniqueCount="370">
  <si>
    <t>Test Execution Summary</t>
  </si>
  <si>
    <t>Test cases (plan)</t>
  </si>
  <si>
    <t xml:space="preserve">  Passed</t>
  </si>
  <si>
    <t xml:space="preserve">  Failed</t>
  </si>
  <si>
    <t xml:space="preserve">  Not run</t>
  </si>
  <si>
    <t>% executed</t>
  </si>
  <si>
    <t>% passed</t>
  </si>
  <si>
    <t>Automated test cases (pytest items)</t>
  </si>
  <si>
    <t xml:space="preserve">  Unit tests</t>
  </si>
  <si>
    <t xml:space="preserve">  Integration tests</t>
  </si>
  <si>
    <t>Requirements traced</t>
  </si>
  <si>
    <t xml:space="preserve">  with status Pass</t>
  </si>
  <si>
    <t xml:space="preserve">  with status Not Run</t>
  </si>
  <si>
    <t>Assumptions and sources:</t>
  </si>
  <si>
    <t>- 20 tests carry no test case ID in their docstring; they are mapped to the nearest plan test case and marked 'Mapped to the nearest plan test case' on that sheet.</t>
  </si>
  <si>
    <t>- TC-UX-01 is a manual check not yet performed; CR-01 is a structure review. Both are inputs in blue on the 'Test Cases' sheet.</t>
  </si>
  <si>
    <t>Team 10 - Vehicle Parking System: Test Cases</t>
  </si>
  <si>
    <t>Counts and statuses of automated cases are formulas over the 'Automated Tests' sheet. Manual cases (blue) are inputs.</t>
  </si>
  <si>
    <t>Test Case ID</t>
  </si>
  <si>
    <t>Requirement ID</t>
  </si>
  <si>
    <t>Title</t>
  </si>
  <si>
    <t>Type</t>
  </si>
  <si>
    <t>Steps</t>
  </si>
  <si>
    <t>Expected Result</t>
  </si>
  <si>
    <t>Automated test cases</t>
  </si>
  <si>
    <t>Test functions</t>
  </si>
  <si>
    <t>Actual Result</t>
  </si>
  <si>
    <t>Status</t>
  </si>
  <si>
    <t>TC-Reg-01</t>
  </si>
  <si>
    <t>VPS-F-001</t>
  </si>
  <si>
    <t>User registration</t>
  </si>
  <si>
    <t>Automated (integration)</t>
  </si>
  <si>
    <t>Open /register; enter valid name, email, password; submit (also try invalid input)</t>
  </si>
  <si>
    <t>Account saved with hashed password, redirect to login; invalid input rejected</t>
  </si>
  <si>
    <t>test_register_success, test_register_invalid_inputs</t>
  </si>
  <si>
    <t>TC-Reg-02</t>
  </si>
  <si>
    <t>VPS-F-002</t>
  </si>
  <si>
    <t>Duplicate email validation</t>
  </si>
  <si>
    <t>Automated (integration + unit)</t>
  </si>
  <si>
    <t>Register twice with the same email (also different case/spaces)</t>
  </si>
  <si>
    <t>Second registration rejected with 'Email already registered'; one record only</t>
  </si>
  <si>
    <t>test_register_duplicate_email, test_register_duplicate_email_case_insensitive, test_register_rolls_back_duplicate_at_commit, test_duplicate_email_rejected_by_db</t>
  </si>
  <si>
    <t>TC-Auth-01</t>
  </si>
  <si>
    <t>VPS-F-003</t>
  </si>
  <si>
    <t>Password hashing</t>
  </si>
  <si>
    <t>Automated (unit)</t>
  </si>
  <si>
    <t>Register a user; inspect the stored password</t>
  </si>
  <si>
    <t>Stored value is a salted hash, not plain text</t>
  </si>
  <si>
    <t>test_password_is_hashed_not_plain</t>
  </si>
  <si>
    <t>TC-Auth-02</t>
  </si>
  <si>
    <t>VPS-F-004</t>
  </si>
  <si>
    <t>User authentication</t>
  </si>
  <si>
    <t>Log in with correct, wrong and unknown credentials; check login/logout log lines</t>
  </si>
  <si>
    <t>Correct -&gt; dashboard; wrong/unknown -&gt; 'Invalid email or password'; events logged without passwords</t>
  </si>
  <si>
    <t>test_login_success_reaches_dashboard, test_login_wrong_password, test_login_unknown_user, test_failed_login_is_logged, test_successful_login_is_logged, test_check_password_correct_and_wrong</t>
  </si>
  <si>
    <t>TC-Slot-01</t>
  </si>
  <si>
    <t>VPS-F-005</t>
  </si>
  <si>
    <t>Display parking slots</t>
  </si>
  <si>
    <t>Log in and open the dashboard (/ and /dashboard)</t>
  </si>
  <si>
    <t>All slots displayed with status; message if none exist</t>
  </si>
  <si>
    <t>test_slot_defaults_to_available, test_dashboard_lists_slots, test_dashboard_route, test_dashboard_empty</t>
  </si>
  <si>
    <t>TC-Slot-02</t>
  </si>
  <si>
    <t>VPS-F-006</t>
  </si>
  <si>
    <t>Floor-wise slot display</t>
  </si>
  <si>
    <t>Create slots on floors 1 and 2; open the dashboard</t>
  </si>
  <si>
    <t>Slots grouped under floor headings, ordered by floor then slot number</t>
  </si>
  <si>
    <t>test_dashboard_groups_by_floor, test_dashboard_orders_slots_by_floor_and_number</t>
  </si>
  <si>
    <t>TC-Slot-03</t>
  </si>
  <si>
    <t>VPS-F-007</t>
  </si>
  <si>
    <t>Prevent booking occupied slot</t>
  </si>
  <si>
    <t>POST a booking for an occupied slot; two customers book the same slot</t>
  </si>
  <si>
    <t>Booking rejected with 409; only one active booking per slot</t>
  </si>
  <si>
    <t>test_only_customers_can_select_or_book_slots, test_two_customers_cannot_book_same_slot, test_cannot_book_occupied_slot</t>
  </si>
  <si>
    <t>TC-Book-01</t>
  </si>
  <si>
    <t>VPS-F-008</t>
  </si>
  <si>
    <t>Book available slot</t>
  </si>
  <si>
    <t>Click an available slot; enter vehicle; submit</t>
  </si>
  <si>
    <t>Booking created, slot becomes occupied; invalid slot or no login handled</t>
  </si>
  <si>
    <t>test_booking_form_posts_required_fields, test_book_available_slot, test_two_customers_cannot_book_same_slot, test_book_nonexistent_slot, test_booking_requires_login</t>
  </si>
  <si>
    <t>TC-Book-02</t>
  </si>
  <si>
    <t>VPS-F-009</t>
  </si>
  <si>
    <t>Register new vehicle</t>
  </si>
  <si>
    <t>Book or register with a new vehicle number (valid and invalid)</t>
  </si>
  <si>
    <t>Valid: vehicle saved; invalid: rejected with nothing saved; plate unique across customers</t>
  </si>
  <si>
    <t>test_valid_plate, test_book_available_slot, test_booking_invalid_plate_rejected, test_booking_rejects_invalid_input, test_register_vehicle_and_book_with_it, test_vehicle_number_is_unique_across_customers, test_vehicle_registration_requires_login</t>
  </si>
  <si>
    <t>TC-Book-03</t>
  </si>
  <si>
    <t>VPS-F-010</t>
  </si>
  <si>
    <t>Use existing vehicle record</t>
  </si>
  <si>
    <t>Book twice with the same vehicle number or a registered vehicle</t>
  </si>
  <si>
    <t>One vehicle record, bookings linked to it; another customer's vehicle refused</t>
  </si>
  <si>
    <t>test_booking_reuses_existing_vehicle, test_register_vehicle_and_book_with_it, test_cannot_book_another_customers_vehicle</t>
  </si>
  <si>
    <t>TC-Book-04</t>
  </si>
  <si>
    <t>VPS-F-011</t>
  </si>
  <si>
    <t>Record check-in time</t>
  </si>
  <si>
    <t>Book a slot; inspect the booking; force a database failure</t>
  </si>
  <si>
    <t>check_in set, check_out empty, status active; failure rolls back</t>
  </si>
  <si>
    <t>test_book_available_slot, test_booking_rejects_invalid_input, test_booking_rolls_back_database_failure, test_vehicle_registration_rejects_invalid_details, test_cannot_book_another_customers_vehicle, test_booking_rejects_invalid_vehicle_id, test_selected_vehicle_booking_rolls_back_on_failure</t>
  </si>
  <si>
    <t>TC-Checkout-01</t>
  </si>
  <si>
    <t>VPS-F-012</t>
  </si>
  <si>
    <t>Customer check-out</t>
  </si>
  <si>
    <t>Check out an active booking (and try twice; force a commit failure)</t>
  </si>
  <si>
    <t>Booking completed, check-out time set, slot available; second attempt 409; failure rolls back</t>
  </si>
  <si>
    <t>test_customer_checkout, test_double_checkout_returns_409, test_history_checkout_has_confirmation_prompt, test_checkout_commit_failure_rolls_back</t>
  </si>
  <si>
    <t>TC-Checkout-02</t>
  </si>
  <si>
    <t>VPS-F-013 / VPS-SR-005</t>
  </si>
  <si>
    <t>Check-out authorization and invalid check-out</t>
  </si>
  <si>
    <t>Another customer tries to check out; check out an unknown booking</t>
  </si>
  <si>
    <t>403 Forbidden; 404 for unknown booking; booking stays active</t>
  </si>
  <si>
    <t>test_other_customer_cannot_checkout, test_checkout_unknown_booking</t>
  </si>
  <si>
    <t>TC-Hist-01</t>
  </si>
  <si>
    <t>VPS-F-014</t>
  </si>
  <si>
    <t>View booking history</t>
  </si>
  <si>
    <t>Open /history as different users, logged out, and after check-out</t>
  </si>
  <si>
    <t>Each user sees only own bookings incl. completed; empty message; login required</t>
  </si>
  <si>
    <t>test_history_shows_own_bookings_only, test_history_empty, test_completed_booking_remains_in_history, test_history_requires_login</t>
  </si>
  <si>
    <t>TC-Admin-01</t>
  </si>
  <si>
    <t>VPS-F-015</t>
  </si>
  <si>
    <t>Admin add parking slot</t>
  </si>
  <si>
    <t>Admin adds a slot; try duplicate/blank/bad floor; force a commit failure</t>
  </si>
  <si>
    <t>Valid slot added; invalid input rejected; failure rolls back with a safe message</t>
  </si>
  <si>
    <t>test_admin_add_slot, test_admin_add_slot_validation, test_admin_add_slot_commit_failure_rolls_back, test_duplicate_slot_number_rejected</t>
  </si>
  <si>
    <t>TC-Admin-02</t>
  </si>
  <si>
    <t>VPS-F-016</t>
  </si>
  <si>
    <t>Admin remove available slot</t>
  </si>
  <si>
    <t>Admin removes available and occupied slots</t>
  </si>
  <si>
    <t>Available removed; occupied refused</t>
  </si>
  <si>
    <t>test_admin_remove_available_slot, test_admin_cannot_remove_occupied_slot</t>
  </si>
  <si>
    <t>TC-Admin-03</t>
  </si>
  <si>
    <t>VPS-F-017</t>
  </si>
  <si>
    <t>Admin view / force checkout</t>
  </si>
  <si>
    <t>Admin opens active bookings and force checks out (also repeat and unknown ID)</t>
  </si>
  <si>
    <t>Booking completed, slot freed, logged with admin id; repeat 409; unknown 404; confirm prompt shown</t>
  </si>
  <si>
    <t>test_admin_view_and_force_checkout, test_force_checkout_completed_booking_returns_409, test_force_checkout_unknown_booking_returns_404, test_force_checkout_is_logged_with_admin_id, test_admin_bookings_page_has_confirmation_prompt</t>
  </si>
  <si>
    <t>TC-Perf-01</t>
  </si>
  <si>
    <t>VPS-NF-001</t>
  </si>
  <si>
    <t>Dashboard response time</t>
  </si>
  <si>
    <t>Load the dashboard with 200 slots</t>
  </si>
  <si>
    <t>Responds in &lt;= 2 seconds (server-side, Flask test client)</t>
  </si>
  <si>
    <t>test_dashboard_performance_200_slots</t>
  </si>
  <si>
    <t>TC-UX-01</t>
  </si>
  <si>
    <t>VPS-NF-002</t>
  </si>
  <si>
    <t>Core actions within 3 clicks</t>
  </si>
  <si>
    <t>Manual</t>
  </si>
  <si>
    <t>Count clicks from the dashboard: book a slot, check out, view history, admin add slot</t>
  </si>
  <si>
    <t>Each reachable in &lt;= 3 clicks (manual check)</t>
  </si>
  <si>
    <t>Not yet recorded - count clicks by hand and update this cell</t>
  </si>
  <si>
    <t>Not Run</t>
  </si>
  <si>
    <t>TC-Rel-01</t>
  </si>
  <si>
    <t>VPS-NF-003</t>
  </si>
  <si>
    <t>Slot status consistent with bookings</t>
  </si>
  <si>
    <t>Book 3 slots, check out 1; try stale status and concurrent bookings</t>
  </si>
  <si>
    <t>Occupied slots == active bookings; only one concurrent booking wins</t>
  </si>
  <si>
    <t>test_slot_status_consistent_with_bookings, test_checkout_commit_failure_rolls_back, test_book_available_slot, test_two_customers_cannot_book_same_slot, test_available_status_cannot_override_active_booking, test_simultaneous_requests_create_at_most_one_booking</t>
  </si>
  <si>
    <t>TC-Sec-01</t>
  </si>
  <si>
    <t>VPS-NF-004 / VPS-SR-003</t>
  </si>
  <si>
    <t>Session invalidated after logout</t>
  </si>
  <si>
    <t>Log out, then open protected pages; check cookie and secret key settings</t>
  </si>
  <si>
    <t>Redirected to login; cookies HttpOnly and SameSite=Lax; app refuses to start without SECRET_KEY</t>
  </si>
  <si>
    <t>test_dashboard_requires_login, test_logout_invalidates_session, test_app_requires_secret_key, test_session_cookie_security_settings, test_logout_is_logged</t>
  </si>
  <si>
    <t>TC-Sec-02</t>
  </si>
  <si>
    <t>VPS-SR-001</t>
  </si>
  <si>
    <t>Secure password hashing</t>
  </si>
  <si>
    <t>Compare hashes of the same password for two users</t>
  </si>
  <si>
    <t>Hashes differ (salted) and are not plain text</t>
  </si>
  <si>
    <t>test_password_is_hashed_not_plain, test_same_password_gives_different_hashes</t>
  </si>
  <si>
    <t>TC-Sec-03</t>
  </si>
  <si>
    <t>VPS-SR-002</t>
  </si>
  <si>
    <t>Admin route authorization</t>
  </si>
  <si>
    <t>Customer and anonymous users access admin URLs</t>
  </si>
  <si>
    <t>Customer 403, anonymous redirected to login</t>
  </si>
  <si>
    <t>test_non_admin_blocked_from_admin_routes, test_anonymous_blocked_from_admin_routes, test_default_role_is_customer</t>
  </si>
  <si>
    <t>TC-Sec-04</t>
  </si>
  <si>
    <t>VPS-SR-004</t>
  </si>
  <si>
    <t>Input validation and sanitisation</t>
  </si>
  <si>
    <t>Submit malformed email/plate and &lt;script&gt; in a name</t>
  </si>
  <si>
    <t>Rejected or escaped safely</t>
  </si>
  <si>
    <t>test_register_invalid_inputs, test_register_script_input_is_escaped, test_valid_email, test_valid_plate, test_booking_invalid_plate_rejected</t>
  </si>
  <si>
    <t>CR-01</t>
  </si>
  <si>
    <t>VPS-NF-005</t>
  </si>
  <si>
    <t>Models, routes, templates separated</t>
  </si>
  <si>
    <t>Code review</t>
  </si>
  <si>
    <t>Code review of the project structure</t>
  </si>
  <si>
    <t>app/models.py, app/routes/ and app/templates/ are separate (review)</t>
  </si>
  <si>
    <t>Structure reviewed: app/models.py, app/routes/, app/templates/ are separate</t>
  </si>
  <si>
    <t>Pass</t>
  </si>
  <si>
    <t>Automated tests (pytest) - one row per test function</t>
  </si>
  <si>
    <t>Result column (blue) is an input: update it after each pytest run. 'Cases run' counts parametrized cases, so the column totals the pytest item count.</t>
  </si>
  <si>
    <t>#</t>
  </si>
  <si>
    <t>File</t>
  </si>
  <si>
    <t>Test function</t>
  </si>
  <si>
    <t>Level</t>
  </si>
  <si>
    <t>Cases run</t>
  </si>
  <si>
    <t>Test case ID(s)</t>
  </si>
  <si>
    <t>Result</t>
  </si>
  <si>
    <t>Description / mapping note</t>
  </si>
  <si>
    <t>test_auth_integration.py</t>
  </si>
  <si>
    <t>test_register_success</t>
  </si>
  <si>
    <t>Integration</t>
  </si>
  <si>
    <t>test_register_duplicate_email</t>
  </si>
  <si>
    <t>test_register_duplicate_email_case_insensitive</t>
  </si>
  <si>
    <t>TC-Reg-02 (boundary)</t>
  </si>
  <si>
    <t>test_register_invalid_inputs</t>
  </si>
  <si>
    <t>TC-Reg-01, TC-Sec-04</t>
  </si>
  <si>
    <t>TC-Reg-01 error cases / TC-Sec-04</t>
  </si>
  <si>
    <t>test_register_rolls_back_duplicate_at_commit</t>
  </si>
  <si>
    <t>TC-Reg-02: a database uniqueness race returns feedback, not a server error.</t>
  </si>
  <si>
    <t>test_register_script_input_is_escaped</t>
  </si>
  <si>
    <t>TC-Sec-04: XSS attempt is escaped on display.</t>
  </si>
  <si>
    <t>test_login_success_reaches_dashboard</t>
  </si>
  <si>
    <t>test_login_wrong_password</t>
  </si>
  <si>
    <t>TC-Auth-02 error case</t>
  </si>
  <si>
    <t>test_login_unknown_user</t>
  </si>
  <si>
    <t>Mapped to the nearest plan test case (no ID in the test docstring)</t>
  </si>
  <si>
    <t>test_dashboard_requires_login</t>
  </si>
  <si>
    <t>test_logout_invalidates_session</t>
  </si>
  <si>
    <t>TC-Sec-01 / VPS-SR-003</t>
  </si>
  <si>
    <t>test_app_requires_secret_key</t>
  </si>
  <si>
    <t>test_session_cookie_security_settings</t>
  </si>
  <si>
    <t>test_failed_login_is_logged</t>
  </si>
  <si>
    <t>test_successful_login_is_logged</t>
  </si>
  <si>
    <t>test_logout_is_logged</t>
  </si>
  <si>
    <t>test_checkout_history_admin.py</t>
  </si>
  <si>
    <t>test_customer_checkout</t>
  </si>
  <si>
    <t>test_double_checkout_returns_409</t>
  </si>
  <si>
    <t>TC-Checkout-01 boundary: completed booking returns HTTP 409.</t>
  </si>
  <si>
    <t>test_other_customer_cannot_checkout</t>
  </si>
  <si>
    <t>TC-Checkout-02 / VPS-SR-005</t>
  </si>
  <si>
    <t>test_checkout_unknown_booking</t>
  </si>
  <si>
    <t>test_history_shows_own_bookings_only</t>
  </si>
  <si>
    <t>test_history_empty</t>
  </si>
  <si>
    <t>test_completed_booking_remains_in_history</t>
  </si>
  <si>
    <t>test_history_requires_login</t>
  </si>
  <si>
    <t>test_admin_add_slot</t>
  </si>
  <si>
    <t>test_admin_add_slot_validation</t>
  </si>
  <si>
    <t>TC-Admin-01 error cases</t>
  </si>
  <si>
    <t>test_admin_remove_available_slot</t>
  </si>
  <si>
    <t>test_admin_cannot_remove_occupied_slot</t>
  </si>
  <si>
    <t>TC-Admin-02 error</t>
  </si>
  <si>
    <t>test_admin_view_and_force_checkout</t>
  </si>
  <si>
    <t>test_non_admin_blocked_from_admin_routes</t>
  </si>
  <si>
    <t>TC-Sec-03 / VPS-SR-002</t>
  </si>
  <si>
    <t>test_anonymous_blocked_from_admin_routes</t>
  </si>
  <si>
    <t>test_slot_status_consistent_with_bookings</t>
  </si>
  <si>
    <t>TC-Rel-01: occupied slots == active bookings through book/checkout cycle</t>
  </si>
  <si>
    <t>test_history_checkout_has_confirmation_prompt</t>
  </si>
  <si>
    <t>test_checkout_commit_failure_rolls_back</t>
  </si>
  <si>
    <t>TC-Checkout-01, TC-Rel-01</t>
  </si>
  <si>
    <t>test_force_checkout_completed_booking_returns_409</t>
  </si>
  <si>
    <t>TC-Admin-03: force checkout of a completed booking returns 409.</t>
  </si>
  <si>
    <t>test_force_checkout_unknown_booking_returns_404</t>
  </si>
  <si>
    <t>test_force_checkout_is_logged_with_admin_id</t>
  </si>
  <si>
    <t>TC-Admin-03 / SAD 4.4: forced checkouts are logged with the admin id.</t>
  </si>
  <si>
    <t>test_admin_bookings_page_has_confirmation_prompt</t>
  </si>
  <si>
    <t>test_admin_add_slot_commit_failure_rolls_back</t>
  </si>
  <si>
    <t>test_models.py</t>
  </si>
  <si>
    <t>Unit</t>
  </si>
  <si>
    <t>TC-Auth-01, TC-Sec-02</t>
  </si>
  <si>
    <t>TC-Auth-01 / TC-Sec-02: password stored as a hash.</t>
  </si>
  <si>
    <t>test_check_password_correct_and_wrong</t>
  </si>
  <si>
    <t>TC-Auth-02: verification succeeds only for the right password.</t>
  </si>
  <si>
    <t>test_same_password_gives_different_hashes</t>
  </si>
  <si>
    <t>TC-Sec-02: salted hashing.</t>
  </si>
  <si>
    <t>test_duplicate_email_rejected_by_db</t>
  </si>
  <si>
    <t>TC-Reg-02: unique email constraint.</t>
  </si>
  <si>
    <t>test_default_role_is_customer</t>
  </si>
  <si>
    <t>test_slot_defaults_to_available</t>
  </si>
  <si>
    <t>test_duplicate_slot_number_rejected</t>
  </si>
  <si>
    <t>TC-Admin-01 (boundary)</t>
  </si>
  <si>
    <t>test_valid_email</t>
  </si>
  <si>
    <t>TC-Sec-04: input validation.</t>
  </si>
  <si>
    <t>test_valid_plate</t>
  </si>
  <si>
    <t>TC-Sec-04, TC-Book-02</t>
  </si>
  <si>
    <t>TC-Sec-04 / TC-Book-02 (boundary lengths)</t>
  </si>
  <si>
    <t>test_slots_integration.py</t>
  </si>
  <si>
    <t>test_dashboard_lists_slots</t>
  </si>
  <si>
    <t>TC-Slot-01: dashboard displays slots with their correct availability.</t>
  </si>
  <si>
    <t>test_dashboard_route</t>
  </si>
  <si>
    <t>test_dashboard_groups_by_floor</t>
  </si>
  <si>
    <t>test_dashboard_orders_slots_by_floor_and_number</t>
  </si>
  <si>
    <t>test_dashboard_empty</t>
  </si>
  <si>
    <t>TC-Slot-01 boundary: no slots</t>
  </si>
  <si>
    <t>test_booking_form_posts_required_fields</t>
  </si>
  <si>
    <t>TC-Book-01: the form submits the selected slot to POST /book.</t>
  </si>
  <si>
    <t>test_book_available_slot</t>
  </si>
  <si>
    <t>TC-Book-01, TC-Book-02, TC-Book-04, TC-Rel-01</t>
  </si>
  <si>
    <t>TC-Book-01 / TC-Book-02 / TC-Book-04 / TC-Rel-01</t>
  </si>
  <si>
    <t>test_only_customers_can_select_or_book_slots</t>
  </si>
  <si>
    <t>TC-Slot-03: admins cannot use the customer booking workflow.</t>
  </si>
  <si>
    <t>test_two_customers_cannot_book_same_slot</t>
  </si>
  <si>
    <t>TC-Slot-03, TC-Book-01, TC-Rel-01</t>
  </si>
  <si>
    <t>TC-Slot-03 / TC-Book-01 / TC-Rel-01: only one booking succeeds.</t>
  </si>
  <si>
    <t>test_available_status_cannot_override_active_booking</t>
  </si>
  <si>
    <t>TC-Rel-01: a stale slot status cannot create another active booking.</t>
  </si>
  <si>
    <t>test_simultaneous_requests_create_at_most_one_booking</t>
  </si>
  <si>
    <t>TC-Rel-01: concurrent customers cannot both claim the same slot.</t>
  </si>
  <si>
    <t>test_cannot_book_occupied_slot</t>
  </si>
  <si>
    <t>test_book_nonexistent_slot</t>
  </si>
  <si>
    <t>test_booking_reuses_existing_vehicle</t>
  </si>
  <si>
    <t>test_booking_invalid_plate_rejected</t>
  </si>
  <si>
    <t>TC-Book-02, TC-Sec-04</t>
  </si>
  <si>
    <t>TC-Book-02 error / TC-Sec-04</t>
  </si>
  <si>
    <t>test_booking_requires_login</t>
  </si>
  <si>
    <t>test_booking_rejects_invalid_input</t>
  </si>
  <si>
    <t>TC-Book-02, TC-Book-04</t>
  </si>
  <si>
    <t>TC-Book-02 / TC-Book-04: malformed form data returns 400 with no changes.</t>
  </si>
  <si>
    <t>test_booking_rolls_back_database_failure</t>
  </si>
  <si>
    <t>TC-Book-04: a failed insert leaves the slot and vehicle unchanged.</t>
  </si>
  <si>
    <t>TC-Perf-01: dashboard responds within 2 seconds for 200 slots.</t>
  </si>
  <si>
    <t>test_vehicle_registration.py</t>
  </si>
  <si>
    <t>test_register_vehicle_and_book_with_it</t>
  </si>
  <si>
    <t>TC-Book-02, TC-Book-03</t>
  </si>
  <si>
    <t>TC-Book-02 / TC-Book-03: an owned registered vehicle links to its booking.</t>
  </si>
  <si>
    <t>test_vehicle_registration_rejects_invalid_details</t>
  </si>
  <si>
    <t>TC-Book-04: invalid vehicle details create no record.</t>
  </si>
  <si>
    <t>test_vehicle_number_is_unique_across_customers</t>
  </si>
  <si>
    <t>TC-Book-02: a plate already owned by another customer cannot be registered.</t>
  </si>
  <si>
    <t>test_cannot_book_another_customers_vehicle</t>
  </si>
  <si>
    <t>TC-Book-03, TC-Book-04</t>
  </si>
  <si>
    <t>TC-Book-03 / TC-Book-04: forged vehicle IDs cannot create a booking.</t>
  </si>
  <si>
    <t>test_booking_rejects_invalid_vehicle_id</t>
  </si>
  <si>
    <t>TC-Book-04: malformed vehicle IDs do not create bookings.</t>
  </si>
  <si>
    <t>test_selected_vehicle_booking_rolls_back_on_failure</t>
  </si>
  <si>
    <t>TC-Book-04: failed booking retains the vehicle but does not claim the slot.</t>
  </si>
  <si>
    <t>test_vehicle_registration_requires_login</t>
  </si>
  <si>
    <t>Requirements Traceability Matrix</t>
  </si>
  <si>
    <t>Status and automated-case counts are looked up from the 'Test Cases' sheet. Module names follow SAD section 3.8.</t>
  </si>
  <si>
    <t>Requirement</t>
  </si>
  <si>
    <t>SRS section</t>
  </si>
  <si>
    <t>Module (SAD 3.8)</t>
  </si>
  <si>
    <t>Test case</t>
  </si>
  <si>
    <t>Notes</t>
  </si>
  <si>
    <t>4.1</t>
  </si>
  <si>
    <t>AuthModule</t>
  </si>
  <si>
    <t>4.2</t>
  </si>
  <si>
    <t>SlotModule</t>
  </si>
  <si>
    <t>Slot type not shown on the dashboard yet (issue #21); status shown by colour only</t>
  </si>
  <si>
    <t>SlotModule, BookingModule</t>
  </si>
  <si>
    <t>4.3</t>
  </si>
  <si>
    <t>BookingModule</t>
  </si>
  <si>
    <t>4.4</t>
  </si>
  <si>
    <t>VPS-F-013</t>
  </si>
  <si>
    <t>Check-out authorization</t>
  </si>
  <si>
    <t>BookingModule, Guard</t>
  </si>
  <si>
    <t>4.5</t>
  </si>
  <si>
    <t>4.6</t>
  </si>
  <si>
    <t>AdminModule</t>
  </si>
  <si>
    <t>Vehicle type not captured on the add-slot form yet (issue #21)</t>
  </si>
  <si>
    <t>Confirmation prompt before removal still to do (#21)</t>
  </si>
  <si>
    <t>Dashboard under 2 s for 200 slots</t>
  </si>
  <si>
    <t>5</t>
  </si>
  <si>
    <t>SlotModule, Web UI</t>
  </si>
  <si>
    <t>Measured server-side with the Flask test client</t>
  </si>
  <si>
    <t>Web UI</t>
  </si>
  <si>
    <t>Manual check not yet recorded</t>
  </si>
  <si>
    <t>Slot / booking consistency</t>
  </si>
  <si>
    <t>BookingModule, Models</t>
  </si>
  <si>
    <t>No periodic consistency job; covered by tests</t>
  </si>
  <si>
    <t>VPS-NF-004</t>
  </si>
  <si>
    <t>Session expires on logout</t>
  </si>
  <si>
    <t>Whole codebase</t>
  </si>
  <si>
    <t>5.1.2</t>
  </si>
  <si>
    <t>Guard, AdminModule</t>
  </si>
  <si>
    <t>Logged-in non-admins get 403, anonymous users are redirected (SRS says redirected, SAD says 403)</t>
  </si>
  <si>
    <t>VPS-SR-003</t>
  </si>
  <si>
    <t>Session invalidation</t>
  </si>
  <si>
    <t>All routes</t>
  </si>
  <si>
    <t>CSRF tokens not implemented</t>
  </si>
  <si>
    <t>VPS-SR-005</t>
  </si>
  <si>
    <t>Checkout only for owner/admin</t>
  </si>
  <si>
    <t>- Automated results: the team's pytest run on main reported 97 passed, 0 failed (supplied by the team). Update the Result column on the 'Automated Tests' sheet after each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</si>
</sst>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1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topLeftCell="A7" zoomScaleNormal="100" workbookViewId="0">
      <selection activeCell="D25" sqref="D25"/>
    </sheetView>
  </sheetViews>
  <sheetFormatPr defaultColWidth="8.6328125" defaultRowHeight="14.5" x14ac:dyDescent="0.35"/>
  <cols>
    <col min="1" max="1" width="40" customWidth="1"/>
    <col min="2" max="2" width="14" customWidth="1"/>
  </cols>
  <sheetData>
    <row r="1" spans="1:2" ht="18" x14ac:dyDescent="0.4">
      <c r="A1" s="1" t="s">
        <v>0</v>
      </c>
    </row>
    <row r="3" spans="1:2" x14ac:dyDescent="0.35">
      <c r="A3" s="2" t="s">
        <v>1</v>
      </c>
      <c r="B3" s="3">
        <f>COUNTA('Test Cases'!A5:A29)</f>
        <v>25</v>
      </c>
    </row>
    <row r="4" spans="1:2" x14ac:dyDescent="0.35">
      <c r="A4" s="3" t="s">
        <v>2</v>
      </c>
      <c r="B4" s="3">
        <f>COUNTIF('Test Cases'!J5:J29,"Pass")</f>
        <v>24</v>
      </c>
    </row>
    <row r="5" spans="1:2" x14ac:dyDescent="0.35">
      <c r="A5" s="3" t="s">
        <v>3</v>
      </c>
      <c r="B5" s="3">
        <f>COUNTIF('Test Cases'!J5:J29,"Fail")</f>
        <v>0</v>
      </c>
    </row>
    <row r="6" spans="1:2" x14ac:dyDescent="0.35">
      <c r="A6" s="3" t="s">
        <v>4</v>
      </c>
      <c r="B6" s="3">
        <f>COUNTIF('Test Cases'!J5:J29,"Not Run")</f>
        <v>1</v>
      </c>
    </row>
    <row r="7" spans="1:2" x14ac:dyDescent="0.35">
      <c r="A7" s="2" t="s">
        <v>5</v>
      </c>
      <c r="B7" s="4">
        <f>IFERROR((B4+B5)/B3,0)</f>
        <v>0.96</v>
      </c>
    </row>
    <row r="8" spans="1:2" x14ac:dyDescent="0.35">
      <c r="A8" s="2" t="s">
        <v>6</v>
      </c>
      <c r="B8" s="4">
        <f>IFERROR(B4/B3,0)</f>
        <v>0.96</v>
      </c>
    </row>
    <row r="9" spans="1:2" x14ac:dyDescent="0.35">
      <c r="A9" s="2"/>
    </row>
    <row r="10" spans="1:2" x14ac:dyDescent="0.35">
      <c r="A10" s="2" t="s">
        <v>7</v>
      </c>
      <c r="B10" s="3">
        <v>97</v>
      </c>
    </row>
    <row r="11" spans="1:2" x14ac:dyDescent="0.35">
      <c r="A11" s="3" t="s">
        <v>2</v>
      </c>
      <c r="B11" s="3">
        <v>97</v>
      </c>
    </row>
    <row r="12" spans="1:2" x14ac:dyDescent="0.35">
      <c r="A12" s="3" t="s">
        <v>3</v>
      </c>
      <c r="B12" s="3">
        <f>SUMIF('Automated Tests'!G5:G78,"Fail",'Automated Tests'!E5:E78)</f>
        <v>0</v>
      </c>
    </row>
    <row r="13" spans="1:2" x14ac:dyDescent="0.35">
      <c r="A13" s="3" t="s">
        <v>8</v>
      </c>
      <c r="B13" s="3">
        <f>SUMIF('Automated Tests'!D5:D78,"Unit",'Automated Tests'!E5:E78)</f>
        <v>20</v>
      </c>
    </row>
    <row r="14" spans="1:2" x14ac:dyDescent="0.35">
      <c r="A14" s="3" t="s">
        <v>9</v>
      </c>
      <c r="B14" s="3">
        <v>77</v>
      </c>
    </row>
    <row r="15" spans="1:2" x14ac:dyDescent="0.35">
      <c r="A15" s="2"/>
    </row>
    <row r="16" spans="1:2" x14ac:dyDescent="0.35">
      <c r="A16" s="2" t="s">
        <v>10</v>
      </c>
      <c r="B16" s="3">
        <f>COUNTA(RTM!A5:A31)</f>
        <v>27</v>
      </c>
    </row>
    <row r="17" spans="1:2" x14ac:dyDescent="0.35">
      <c r="A17" s="3" t="s">
        <v>11</v>
      </c>
      <c r="B17" s="3">
        <f>COUNTIF(RTM!F5:F31,"Pass")</f>
        <v>26</v>
      </c>
    </row>
    <row r="18" spans="1:2" x14ac:dyDescent="0.35">
      <c r="A18" s="3" t="s">
        <v>12</v>
      </c>
      <c r="B18" s="3">
        <f>COUNTIF(RTM!F5:F31,"Not Run")</f>
        <v>1</v>
      </c>
    </row>
    <row r="21" spans="1:2" x14ac:dyDescent="0.35">
      <c r="A21" s="2" t="s">
        <v>13</v>
      </c>
    </row>
    <row r="22" spans="1:2" x14ac:dyDescent="0.35">
      <c r="A22" s="9" t="s">
        <v>369</v>
      </c>
    </row>
    <row r="23" spans="1:2" x14ac:dyDescent="0.35">
      <c r="A23" s="5" t="s">
        <v>14</v>
      </c>
    </row>
    <row r="24" spans="1:2" x14ac:dyDescent="0.35">
      <c r="A24" s="5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5" customWidth="1"/>
    <col min="2" max="2" width="20" customWidth="1"/>
    <col min="3" max="3" width="30" customWidth="1"/>
    <col min="4" max="4" width="22" customWidth="1"/>
    <col min="5" max="6" width="48" customWidth="1"/>
    <col min="7" max="7" width="12" customWidth="1"/>
    <col min="8" max="8" width="60" customWidth="1"/>
    <col min="9" max="9" width="38" customWidth="1"/>
    <col min="10" max="10" width="10" customWidth="1"/>
  </cols>
  <sheetData>
    <row r="1" spans="1:10" ht="18" x14ac:dyDescent="0.4">
      <c r="A1" s="1" t="s">
        <v>16</v>
      </c>
    </row>
    <row r="2" spans="1:10" x14ac:dyDescent="0.35">
      <c r="A2" s="5" t="s">
        <v>17</v>
      </c>
    </row>
    <row r="4" spans="1:10" ht="28" x14ac:dyDescent="0.35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</row>
    <row r="5" spans="1:10" ht="28" x14ac:dyDescent="0.35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>
        <f>SUMPRODUCT(ISNUMBER(SEARCH($A5,'Automated Tests'!$F$5:$F$78))*'Automated Tests'!$E$5:$E$78)</f>
        <v>2</v>
      </c>
      <c r="H5" s="7" t="s">
        <v>34</v>
      </c>
      <c r="I5" s="7" t="str">
        <f t="shared" ref="I5:I22" si="0">G5&amp;" automated test case(s) "&amp;IF(J5="Pass","passed","- see Automated Tests sheet")</f>
        <v>2 automated test case(s) passed</v>
      </c>
      <c r="J5" s="7" t="str">
        <f>IF(SUMPRODUCT(ISNUMBER(SEARCH($A5,'Automated Tests'!$F$5:$F$78))*('Automated Tests'!$G$5:$G$78="Fail"))&gt;0,"Fail","Pass")</f>
        <v>Pass</v>
      </c>
    </row>
    <row r="6" spans="1:10" ht="56" x14ac:dyDescent="0.35">
      <c r="A6" s="7" t="s">
        <v>35</v>
      </c>
      <c r="B6" s="7" t="s">
        <v>36</v>
      </c>
      <c r="C6" s="7" t="s">
        <v>37</v>
      </c>
      <c r="D6" s="7" t="s">
        <v>38</v>
      </c>
      <c r="E6" s="7" t="s">
        <v>39</v>
      </c>
      <c r="F6" s="7" t="s">
        <v>40</v>
      </c>
      <c r="G6" s="7">
        <f>SUMPRODUCT(ISNUMBER(SEARCH($A6,'Automated Tests'!$F$5:$F$78))*'Automated Tests'!$E$5:$E$78)</f>
        <v>4</v>
      </c>
      <c r="H6" s="7" t="s">
        <v>41</v>
      </c>
      <c r="I6" s="7" t="str">
        <f t="shared" si="0"/>
        <v>4 automated test case(s) passed</v>
      </c>
      <c r="J6" s="7" t="str">
        <f>IF(SUMPRODUCT(ISNUMBER(SEARCH($A6,'Automated Tests'!$F$5:$F$78))*('Automated Tests'!$G$5:$G$78="Fail"))&gt;0,"Fail","Pass")</f>
        <v>Pass</v>
      </c>
    </row>
    <row r="7" spans="1:10" x14ac:dyDescent="0.35">
      <c r="A7" s="7" t="s">
        <v>42</v>
      </c>
      <c r="B7" s="7" t="s">
        <v>43</v>
      </c>
      <c r="C7" s="7" t="s">
        <v>44</v>
      </c>
      <c r="D7" s="7" t="s">
        <v>45</v>
      </c>
      <c r="E7" s="7" t="s">
        <v>46</v>
      </c>
      <c r="F7" s="7" t="s">
        <v>47</v>
      </c>
      <c r="G7" s="7">
        <f>SUMPRODUCT(ISNUMBER(SEARCH($A7,'Automated Tests'!$F$5:$F$78))*'Automated Tests'!$E$5:$E$78)</f>
        <v>1</v>
      </c>
      <c r="H7" s="7" t="s">
        <v>48</v>
      </c>
      <c r="I7" s="7" t="str">
        <f t="shared" si="0"/>
        <v>1 automated test case(s) passed</v>
      </c>
      <c r="J7" s="7" t="str">
        <f>IF(SUMPRODUCT(ISNUMBER(SEARCH($A7,'Automated Tests'!$F$5:$F$78))*('Automated Tests'!$G$5:$G$78="Fail"))&gt;0,"Fail","Pass")</f>
        <v>Pass</v>
      </c>
    </row>
    <row r="8" spans="1:10" ht="56" x14ac:dyDescent="0.35">
      <c r="A8" s="7" t="s">
        <v>49</v>
      </c>
      <c r="B8" s="7" t="s">
        <v>50</v>
      </c>
      <c r="C8" s="7" t="s">
        <v>51</v>
      </c>
      <c r="D8" s="7" t="s">
        <v>38</v>
      </c>
      <c r="E8" s="7" t="s">
        <v>52</v>
      </c>
      <c r="F8" s="7" t="s">
        <v>53</v>
      </c>
      <c r="G8" s="7">
        <f>SUMPRODUCT(ISNUMBER(SEARCH($A8,'Automated Tests'!$F$5:$F$78))*'Automated Tests'!$E$5:$E$78)</f>
        <v>6</v>
      </c>
      <c r="H8" s="7" t="s">
        <v>54</v>
      </c>
      <c r="I8" s="7" t="str">
        <f t="shared" si="0"/>
        <v>6 automated test case(s) passed</v>
      </c>
      <c r="J8" s="7" t="str">
        <f>IF(SUMPRODUCT(ISNUMBER(SEARCH($A8,'Automated Tests'!$F$5:$F$78))*('Automated Tests'!$G$5:$G$78="Fail"))&gt;0,"Fail","Pass")</f>
        <v>Pass</v>
      </c>
    </row>
    <row r="9" spans="1:10" ht="28" x14ac:dyDescent="0.35">
      <c r="A9" s="7" t="s">
        <v>55</v>
      </c>
      <c r="B9" s="7" t="s">
        <v>56</v>
      </c>
      <c r="C9" s="7" t="s">
        <v>57</v>
      </c>
      <c r="D9" s="7" t="s">
        <v>38</v>
      </c>
      <c r="E9" s="7" t="s">
        <v>58</v>
      </c>
      <c r="F9" s="7" t="s">
        <v>59</v>
      </c>
      <c r="G9" s="7">
        <f>SUMPRODUCT(ISNUMBER(SEARCH($A9,'Automated Tests'!$F$5:$F$78))*'Automated Tests'!$E$5:$E$78)</f>
        <v>4</v>
      </c>
      <c r="H9" s="7" t="s">
        <v>60</v>
      </c>
      <c r="I9" s="7" t="str">
        <f t="shared" si="0"/>
        <v>4 automated test case(s) passed</v>
      </c>
      <c r="J9" s="7" t="str">
        <f>IF(SUMPRODUCT(ISNUMBER(SEARCH($A9,'Automated Tests'!$F$5:$F$78))*('Automated Tests'!$G$5:$G$78="Fail"))&gt;0,"Fail","Pass")</f>
        <v>Pass</v>
      </c>
    </row>
    <row r="10" spans="1:10" ht="28" x14ac:dyDescent="0.35">
      <c r="A10" s="7" t="s">
        <v>61</v>
      </c>
      <c r="B10" s="7" t="s">
        <v>62</v>
      </c>
      <c r="C10" s="7" t="s">
        <v>63</v>
      </c>
      <c r="D10" s="7" t="s">
        <v>31</v>
      </c>
      <c r="E10" s="7" t="s">
        <v>64</v>
      </c>
      <c r="F10" s="7" t="s">
        <v>65</v>
      </c>
      <c r="G10" s="7">
        <f>SUMPRODUCT(ISNUMBER(SEARCH($A10,'Automated Tests'!$F$5:$F$78))*'Automated Tests'!$E$5:$E$78)</f>
        <v>2</v>
      </c>
      <c r="H10" s="7" t="s">
        <v>66</v>
      </c>
      <c r="I10" s="7" t="str">
        <f t="shared" si="0"/>
        <v>2 automated test case(s) passed</v>
      </c>
      <c r="J10" s="7" t="str">
        <f>IF(SUMPRODUCT(ISNUMBER(SEARCH($A10,'Automated Tests'!$F$5:$F$78))*('Automated Tests'!$G$5:$G$78="Fail"))&gt;0,"Fail","Pass")</f>
        <v>Pass</v>
      </c>
    </row>
    <row r="11" spans="1:10" ht="42" x14ac:dyDescent="0.35">
      <c r="A11" s="7" t="s">
        <v>67</v>
      </c>
      <c r="B11" s="7" t="s">
        <v>68</v>
      </c>
      <c r="C11" s="7" t="s">
        <v>69</v>
      </c>
      <c r="D11" s="7" t="s">
        <v>31</v>
      </c>
      <c r="E11" s="7" t="s">
        <v>70</v>
      </c>
      <c r="F11" s="7" t="s">
        <v>71</v>
      </c>
      <c r="G11" s="7">
        <f>SUMPRODUCT(ISNUMBER(SEARCH($A11,'Automated Tests'!$F$5:$F$78))*'Automated Tests'!$E$5:$E$78)</f>
        <v>3</v>
      </c>
      <c r="H11" s="7" t="s">
        <v>72</v>
      </c>
      <c r="I11" s="7" t="str">
        <f t="shared" si="0"/>
        <v>3 automated test case(s) passed</v>
      </c>
      <c r="J11" s="7" t="str">
        <f>IF(SUMPRODUCT(ISNUMBER(SEARCH($A11,'Automated Tests'!$F$5:$F$78))*('Automated Tests'!$G$5:$G$78="Fail"))&gt;0,"Fail","Pass")</f>
        <v>Pass</v>
      </c>
    </row>
    <row r="12" spans="1:10" ht="56" x14ac:dyDescent="0.35">
      <c r="A12" s="7" t="s">
        <v>73</v>
      </c>
      <c r="B12" s="7" t="s">
        <v>74</v>
      </c>
      <c r="C12" s="7" t="s">
        <v>75</v>
      </c>
      <c r="D12" s="7" t="s">
        <v>31</v>
      </c>
      <c r="E12" s="7" t="s">
        <v>76</v>
      </c>
      <c r="F12" s="7" t="s">
        <v>77</v>
      </c>
      <c r="G12" s="7">
        <f>SUMPRODUCT(ISNUMBER(SEARCH($A12,'Automated Tests'!$F$5:$F$78))*'Automated Tests'!$E$5:$E$78)</f>
        <v>5</v>
      </c>
      <c r="H12" s="7" t="s">
        <v>78</v>
      </c>
      <c r="I12" s="7" t="str">
        <f t="shared" si="0"/>
        <v>5 automated test case(s) passed</v>
      </c>
      <c r="J12" s="7" t="str">
        <f>IF(SUMPRODUCT(ISNUMBER(SEARCH($A12,'Automated Tests'!$F$5:$F$78))*('Automated Tests'!$G$5:$G$78="Fail"))&gt;0,"Fail","Pass")</f>
        <v>Pass</v>
      </c>
    </row>
    <row r="13" spans="1:10" ht="84" x14ac:dyDescent="0.35">
      <c r="A13" s="7" t="s">
        <v>79</v>
      </c>
      <c r="B13" s="7" t="s">
        <v>80</v>
      </c>
      <c r="C13" s="7" t="s">
        <v>81</v>
      </c>
      <c r="D13" s="7" t="s">
        <v>38</v>
      </c>
      <c r="E13" s="7" t="s">
        <v>82</v>
      </c>
      <c r="F13" s="7" t="s">
        <v>83</v>
      </c>
      <c r="G13" s="7">
        <f>SUMPRODUCT(ISNUMBER(SEARCH($A13,'Automated Tests'!$F$5:$F$78))*'Automated Tests'!$E$5:$E$78)</f>
        <v>18</v>
      </c>
      <c r="H13" s="7" t="s">
        <v>84</v>
      </c>
      <c r="I13" s="7" t="str">
        <f t="shared" si="0"/>
        <v>18 automated test case(s) passed</v>
      </c>
      <c r="J13" s="7" t="str">
        <f>IF(SUMPRODUCT(ISNUMBER(SEARCH($A13,'Automated Tests'!$F$5:$F$78))*('Automated Tests'!$G$5:$G$78="Fail"))&gt;0,"Fail","Pass")</f>
        <v>Pass</v>
      </c>
    </row>
    <row r="14" spans="1:10" ht="42" x14ac:dyDescent="0.35">
      <c r="A14" s="7" t="s">
        <v>85</v>
      </c>
      <c r="B14" s="7" t="s">
        <v>86</v>
      </c>
      <c r="C14" s="7" t="s">
        <v>87</v>
      </c>
      <c r="D14" s="7" t="s">
        <v>31</v>
      </c>
      <c r="E14" s="7" t="s">
        <v>88</v>
      </c>
      <c r="F14" s="7" t="s">
        <v>89</v>
      </c>
      <c r="G14" s="7">
        <f>SUMPRODUCT(ISNUMBER(SEARCH($A14,'Automated Tests'!$F$5:$F$78))*'Automated Tests'!$E$5:$E$78)</f>
        <v>3</v>
      </c>
      <c r="H14" s="7" t="s">
        <v>90</v>
      </c>
      <c r="I14" s="7" t="str">
        <f t="shared" si="0"/>
        <v>3 automated test case(s) passed</v>
      </c>
      <c r="J14" s="7" t="str">
        <f>IF(SUMPRODUCT(ISNUMBER(SEARCH($A14,'Automated Tests'!$F$5:$F$78))*('Automated Tests'!$G$5:$G$78="Fail"))&gt;0,"Fail","Pass")</f>
        <v>Pass</v>
      </c>
    </row>
    <row r="15" spans="1:10" ht="84" x14ac:dyDescent="0.35">
      <c r="A15" s="7" t="s">
        <v>91</v>
      </c>
      <c r="B15" s="7" t="s">
        <v>92</v>
      </c>
      <c r="C15" s="7" t="s">
        <v>93</v>
      </c>
      <c r="D15" s="7" t="s">
        <v>31</v>
      </c>
      <c r="E15" s="7" t="s">
        <v>94</v>
      </c>
      <c r="F15" s="7" t="s">
        <v>95</v>
      </c>
      <c r="G15" s="7">
        <f>SUMPRODUCT(ISNUMBER(SEARCH($A15,'Automated Tests'!$F$5:$F$78))*'Automated Tests'!$E$5:$E$78)</f>
        <v>16</v>
      </c>
      <c r="H15" s="7" t="s">
        <v>96</v>
      </c>
      <c r="I15" s="7" t="str">
        <f t="shared" si="0"/>
        <v>16 automated test case(s) passed</v>
      </c>
      <c r="J15" s="7" t="str">
        <f>IF(SUMPRODUCT(ISNUMBER(SEARCH($A15,'Automated Tests'!$F$5:$F$78))*('Automated Tests'!$G$5:$G$78="Fail"))&gt;0,"Fail","Pass")</f>
        <v>Pass</v>
      </c>
    </row>
    <row r="16" spans="1:10" ht="42" x14ac:dyDescent="0.35">
      <c r="A16" s="7" t="s">
        <v>97</v>
      </c>
      <c r="B16" s="7" t="s">
        <v>98</v>
      </c>
      <c r="C16" s="7" t="s">
        <v>99</v>
      </c>
      <c r="D16" s="7" t="s">
        <v>31</v>
      </c>
      <c r="E16" s="7" t="s">
        <v>100</v>
      </c>
      <c r="F16" s="7" t="s">
        <v>101</v>
      </c>
      <c r="G16" s="7">
        <f>SUMPRODUCT(ISNUMBER(SEARCH($A16,'Automated Tests'!$F$5:$F$78))*'Automated Tests'!$E$5:$E$78)</f>
        <v>4</v>
      </c>
      <c r="H16" s="7" t="s">
        <v>102</v>
      </c>
      <c r="I16" s="7" t="str">
        <f t="shared" si="0"/>
        <v>4 automated test case(s) passed</v>
      </c>
      <c r="J16" s="7" t="str">
        <f>IF(SUMPRODUCT(ISNUMBER(SEARCH($A16,'Automated Tests'!$F$5:$F$78))*('Automated Tests'!$G$5:$G$78="Fail"))&gt;0,"Fail","Pass")</f>
        <v>Pass</v>
      </c>
    </row>
    <row r="17" spans="1:10" ht="28" x14ac:dyDescent="0.35">
      <c r="A17" s="7" t="s">
        <v>103</v>
      </c>
      <c r="B17" s="7" t="s">
        <v>104</v>
      </c>
      <c r="C17" s="7" t="s">
        <v>105</v>
      </c>
      <c r="D17" s="7" t="s">
        <v>31</v>
      </c>
      <c r="E17" s="7" t="s">
        <v>106</v>
      </c>
      <c r="F17" s="7" t="s">
        <v>107</v>
      </c>
      <c r="G17" s="7">
        <f>SUMPRODUCT(ISNUMBER(SEARCH($A17,'Automated Tests'!$F$5:$F$78))*'Automated Tests'!$E$5:$E$78)</f>
        <v>2</v>
      </c>
      <c r="H17" s="7" t="s">
        <v>108</v>
      </c>
      <c r="I17" s="7" t="str">
        <f t="shared" si="0"/>
        <v>2 automated test case(s) passed</v>
      </c>
      <c r="J17" s="7" t="str">
        <f>IF(SUMPRODUCT(ISNUMBER(SEARCH($A17,'Automated Tests'!$F$5:$F$78))*('Automated Tests'!$G$5:$G$78="Fail"))&gt;0,"Fail","Pass")</f>
        <v>Pass</v>
      </c>
    </row>
    <row r="18" spans="1:10" ht="42" x14ac:dyDescent="0.35">
      <c r="A18" s="7" t="s">
        <v>109</v>
      </c>
      <c r="B18" s="7" t="s">
        <v>110</v>
      </c>
      <c r="C18" s="7" t="s">
        <v>111</v>
      </c>
      <c r="D18" s="7" t="s">
        <v>31</v>
      </c>
      <c r="E18" s="7" t="s">
        <v>112</v>
      </c>
      <c r="F18" s="7" t="s">
        <v>113</v>
      </c>
      <c r="G18" s="7">
        <f>SUMPRODUCT(ISNUMBER(SEARCH($A18,'Automated Tests'!$F$5:$F$78))*'Automated Tests'!$E$5:$E$78)</f>
        <v>4</v>
      </c>
      <c r="H18" s="7" t="s">
        <v>114</v>
      </c>
      <c r="I18" s="7" t="str">
        <f t="shared" si="0"/>
        <v>4 automated test case(s) passed</v>
      </c>
      <c r="J18" s="7" t="str">
        <f>IF(SUMPRODUCT(ISNUMBER(SEARCH($A18,'Automated Tests'!$F$5:$F$78))*('Automated Tests'!$G$5:$G$78="Fail"))&gt;0,"Fail","Pass")</f>
        <v>Pass</v>
      </c>
    </row>
    <row r="19" spans="1:10" ht="42" x14ac:dyDescent="0.35">
      <c r="A19" s="7" t="s">
        <v>115</v>
      </c>
      <c r="B19" s="7" t="s">
        <v>116</v>
      </c>
      <c r="C19" s="7" t="s">
        <v>117</v>
      </c>
      <c r="D19" s="7" t="s">
        <v>38</v>
      </c>
      <c r="E19" s="7" t="s">
        <v>118</v>
      </c>
      <c r="F19" s="7" t="s">
        <v>119</v>
      </c>
      <c r="G19" s="7">
        <f>SUMPRODUCT(ISNUMBER(SEARCH($A19,'Automated Tests'!$F$5:$F$78))*'Automated Tests'!$E$5:$E$78)</f>
        <v>4</v>
      </c>
      <c r="H19" s="7" t="s">
        <v>120</v>
      </c>
      <c r="I19" s="7" t="str">
        <f t="shared" si="0"/>
        <v>4 automated test case(s) passed</v>
      </c>
      <c r="J19" s="7" t="str">
        <f>IF(SUMPRODUCT(ISNUMBER(SEARCH($A19,'Automated Tests'!$F$5:$F$78))*('Automated Tests'!$G$5:$G$78="Fail"))&gt;0,"Fail","Pass")</f>
        <v>Pass</v>
      </c>
    </row>
    <row r="20" spans="1:10" ht="28" x14ac:dyDescent="0.35">
      <c r="A20" s="7" t="s">
        <v>121</v>
      </c>
      <c r="B20" s="7" t="s">
        <v>122</v>
      </c>
      <c r="C20" s="7" t="s">
        <v>123</v>
      </c>
      <c r="D20" s="7" t="s">
        <v>31</v>
      </c>
      <c r="E20" s="7" t="s">
        <v>124</v>
      </c>
      <c r="F20" s="7" t="s">
        <v>125</v>
      </c>
      <c r="G20" s="7">
        <f>SUMPRODUCT(ISNUMBER(SEARCH($A20,'Automated Tests'!$F$5:$F$78))*'Automated Tests'!$E$5:$E$78)</f>
        <v>2</v>
      </c>
      <c r="H20" s="7" t="s">
        <v>126</v>
      </c>
      <c r="I20" s="7" t="str">
        <f t="shared" si="0"/>
        <v>2 automated test case(s) passed</v>
      </c>
      <c r="J20" s="7" t="str">
        <f>IF(SUMPRODUCT(ISNUMBER(SEARCH($A20,'Automated Tests'!$F$5:$F$78))*('Automated Tests'!$G$5:$G$78="Fail"))&gt;0,"Fail","Pass")</f>
        <v>Pass</v>
      </c>
    </row>
    <row r="21" spans="1:10" ht="70" x14ac:dyDescent="0.35">
      <c r="A21" s="7" t="s">
        <v>127</v>
      </c>
      <c r="B21" s="7" t="s">
        <v>128</v>
      </c>
      <c r="C21" s="7" t="s">
        <v>129</v>
      </c>
      <c r="D21" s="7" t="s">
        <v>31</v>
      </c>
      <c r="E21" s="7" t="s">
        <v>130</v>
      </c>
      <c r="F21" s="7" t="s">
        <v>131</v>
      </c>
      <c r="G21" s="7">
        <f>SUMPRODUCT(ISNUMBER(SEARCH($A21,'Automated Tests'!$F$5:$F$78))*'Automated Tests'!$E$5:$E$78)</f>
        <v>5</v>
      </c>
      <c r="H21" s="7" t="s">
        <v>132</v>
      </c>
      <c r="I21" s="7" t="str">
        <f t="shared" si="0"/>
        <v>5 automated test case(s) passed</v>
      </c>
      <c r="J21" s="7" t="str">
        <f>IF(SUMPRODUCT(ISNUMBER(SEARCH($A21,'Automated Tests'!$F$5:$F$78))*('Automated Tests'!$G$5:$G$78="Fail"))&gt;0,"Fail","Pass")</f>
        <v>Pass</v>
      </c>
    </row>
    <row r="22" spans="1:10" ht="28" x14ac:dyDescent="0.35">
      <c r="A22" s="7" t="s">
        <v>133</v>
      </c>
      <c r="B22" s="7" t="s">
        <v>134</v>
      </c>
      <c r="C22" s="7" t="s">
        <v>135</v>
      </c>
      <c r="D22" s="7" t="s">
        <v>31</v>
      </c>
      <c r="E22" s="7" t="s">
        <v>136</v>
      </c>
      <c r="F22" s="7" t="s">
        <v>137</v>
      </c>
      <c r="G22" s="7">
        <f>SUMPRODUCT(ISNUMBER(SEARCH($A22,'Automated Tests'!$F$5:$F$78))*'Automated Tests'!$E$5:$E$78)</f>
        <v>1</v>
      </c>
      <c r="H22" s="7" t="s">
        <v>138</v>
      </c>
      <c r="I22" s="7" t="str">
        <f t="shared" si="0"/>
        <v>1 automated test case(s) passed</v>
      </c>
      <c r="J22" s="7" t="str">
        <f>IF(SUMPRODUCT(ISNUMBER(SEARCH($A22,'Automated Tests'!$F$5:$F$78))*('Automated Tests'!$G$5:$G$78="Fail"))&gt;0,"Fail","Pass")</f>
        <v>Pass</v>
      </c>
    </row>
    <row r="23" spans="1:10" ht="28" x14ac:dyDescent="0.35">
      <c r="A23" s="7" t="s">
        <v>139</v>
      </c>
      <c r="B23" s="7" t="s">
        <v>140</v>
      </c>
      <c r="C23" s="7" t="s">
        <v>141</v>
      </c>
      <c r="D23" s="7" t="s">
        <v>142</v>
      </c>
      <c r="E23" s="7" t="s">
        <v>143</v>
      </c>
      <c r="F23" s="7" t="s">
        <v>144</v>
      </c>
      <c r="G23" s="7">
        <f>SUMPRODUCT(ISNUMBER(SEARCH($A23,'Automated Tests'!$F$5:$F$78))*'Automated Tests'!$E$5:$E$78)</f>
        <v>0</v>
      </c>
      <c r="H23" s="7"/>
      <c r="I23" s="8" t="s">
        <v>145</v>
      </c>
      <c r="J23" s="8" t="s">
        <v>146</v>
      </c>
    </row>
    <row r="24" spans="1:10" ht="84" x14ac:dyDescent="0.35">
      <c r="A24" s="7" t="s">
        <v>147</v>
      </c>
      <c r="B24" s="7" t="s">
        <v>148</v>
      </c>
      <c r="C24" s="7" t="s">
        <v>149</v>
      </c>
      <c r="D24" s="7" t="s">
        <v>31</v>
      </c>
      <c r="E24" s="7" t="s">
        <v>150</v>
      </c>
      <c r="F24" s="7" t="s">
        <v>151</v>
      </c>
      <c r="G24" s="7">
        <f>SUMPRODUCT(ISNUMBER(SEARCH($A24,'Automated Tests'!$F$5:$F$78))*'Automated Tests'!$E$5:$E$78)</f>
        <v>6</v>
      </c>
      <c r="H24" s="7" t="s">
        <v>152</v>
      </c>
      <c r="I24" s="7" t="str">
        <f>G24&amp;" automated test case(s) "&amp;IF(J24="Pass","passed","- see Automated Tests sheet")</f>
        <v>6 automated test case(s) passed</v>
      </c>
      <c r="J24" s="7" t="str">
        <f>IF(SUMPRODUCT(ISNUMBER(SEARCH($A24,'Automated Tests'!$F$5:$F$78))*('Automated Tests'!$G$5:$G$78="Fail"))&gt;0,"Fail","Pass")</f>
        <v>Pass</v>
      </c>
    </row>
    <row r="25" spans="1:10" ht="42" x14ac:dyDescent="0.35">
      <c r="A25" s="7" t="s">
        <v>153</v>
      </c>
      <c r="B25" s="7" t="s">
        <v>154</v>
      </c>
      <c r="C25" s="7" t="s">
        <v>155</v>
      </c>
      <c r="D25" s="7" t="s">
        <v>31</v>
      </c>
      <c r="E25" s="7" t="s">
        <v>156</v>
      </c>
      <c r="F25" s="7" t="s">
        <v>157</v>
      </c>
      <c r="G25" s="7">
        <f>SUMPRODUCT(ISNUMBER(SEARCH($A25,'Automated Tests'!$F$5:$F$78))*'Automated Tests'!$E$5:$E$78)</f>
        <v>5</v>
      </c>
      <c r="H25" s="7" t="s">
        <v>158</v>
      </c>
      <c r="I25" s="7" t="str">
        <f>G25&amp;" automated test case(s) "&amp;IF(J25="Pass","passed","- see Automated Tests sheet")</f>
        <v>5 automated test case(s) passed</v>
      </c>
      <c r="J25" s="7" t="str">
        <f>IF(SUMPRODUCT(ISNUMBER(SEARCH($A25,'Automated Tests'!$F$5:$F$78))*('Automated Tests'!$G$5:$G$78="Fail"))&gt;0,"Fail","Pass")</f>
        <v>Pass</v>
      </c>
    </row>
    <row r="26" spans="1:10" ht="28" x14ac:dyDescent="0.35">
      <c r="A26" s="7" t="s">
        <v>159</v>
      </c>
      <c r="B26" s="7" t="s">
        <v>160</v>
      </c>
      <c r="C26" s="7" t="s">
        <v>161</v>
      </c>
      <c r="D26" s="7" t="s">
        <v>45</v>
      </c>
      <c r="E26" s="7" t="s">
        <v>162</v>
      </c>
      <c r="F26" s="7" t="s">
        <v>163</v>
      </c>
      <c r="G26" s="7">
        <f>SUMPRODUCT(ISNUMBER(SEARCH($A26,'Automated Tests'!$F$5:$F$78))*'Automated Tests'!$E$5:$E$78)</f>
        <v>2</v>
      </c>
      <c r="H26" s="7" t="s">
        <v>164</v>
      </c>
      <c r="I26" s="7" t="str">
        <f>G26&amp;" automated test case(s) "&amp;IF(J26="Pass","passed","- see Automated Tests sheet")</f>
        <v>2 automated test case(s) passed</v>
      </c>
      <c r="J26" s="7" t="str">
        <f>IF(SUMPRODUCT(ISNUMBER(SEARCH($A26,'Automated Tests'!$F$5:$F$78))*('Automated Tests'!$G$5:$G$78="Fail"))&gt;0,"Fail","Pass")</f>
        <v>Pass</v>
      </c>
    </row>
    <row r="27" spans="1:10" ht="42" x14ac:dyDescent="0.35">
      <c r="A27" s="7" t="s">
        <v>165</v>
      </c>
      <c r="B27" s="7" t="s">
        <v>166</v>
      </c>
      <c r="C27" s="7" t="s">
        <v>167</v>
      </c>
      <c r="D27" s="7" t="s">
        <v>38</v>
      </c>
      <c r="E27" s="7" t="s">
        <v>168</v>
      </c>
      <c r="F27" s="7" t="s">
        <v>169</v>
      </c>
      <c r="G27" s="7">
        <f>SUMPRODUCT(ISNUMBER(SEARCH($A27,'Automated Tests'!$F$5:$F$78))*'Automated Tests'!$E$5:$E$78)</f>
        <v>3</v>
      </c>
      <c r="H27" s="7" t="s">
        <v>170</v>
      </c>
      <c r="I27" s="7" t="str">
        <f>G27&amp;" automated test case(s) "&amp;IF(J27="Pass","passed","- see Automated Tests sheet")</f>
        <v>3 automated test case(s) passed</v>
      </c>
      <c r="J27" s="7" t="str">
        <f>IF(SUMPRODUCT(ISNUMBER(SEARCH($A27,'Automated Tests'!$F$5:$F$78))*('Automated Tests'!$G$5:$G$78="Fail"))&gt;0,"Fail","Pass")</f>
        <v>Pass</v>
      </c>
    </row>
    <row r="28" spans="1:10" ht="42" x14ac:dyDescent="0.35">
      <c r="A28" s="7" t="s">
        <v>171</v>
      </c>
      <c r="B28" s="7" t="s">
        <v>172</v>
      </c>
      <c r="C28" s="7" t="s">
        <v>173</v>
      </c>
      <c r="D28" s="7" t="s">
        <v>38</v>
      </c>
      <c r="E28" s="7" t="s">
        <v>174</v>
      </c>
      <c r="F28" s="7" t="s">
        <v>175</v>
      </c>
      <c r="G28" s="7">
        <f>SUMPRODUCT(ISNUMBER(SEARCH($A28,'Automated Tests'!$F$5:$F$78))*'Automated Tests'!$E$5:$E$78)</f>
        <v>16</v>
      </c>
      <c r="H28" s="7" t="s">
        <v>176</v>
      </c>
      <c r="I28" s="7" t="str">
        <f>G28&amp;" automated test case(s) "&amp;IF(J28="Pass","passed","- see Automated Tests sheet")</f>
        <v>16 automated test case(s) passed</v>
      </c>
      <c r="J28" s="7" t="str">
        <f>IF(SUMPRODUCT(ISNUMBER(SEARCH($A28,'Automated Tests'!$F$5:$F$78))*('Automated Tests'!$G$5:$G$78="Fail"))&gt;0,"Fail","Pass")</f>
        <v>Pass</v>
      </c>
    </row>
    <row r="29" spans="1:10" ht="28" x14ac:dyDescent="0.35">
      <c r="A29" s="7" t="s">
        <v>177</v>
      </c>
      <c r="B29" s="7" t="s">
        <v>178</v>
      </c>
      <c r="C29" s="7" t="s">
        <v>179</v>
      </c>
      <c r="D29" s="7" t="s">
        <v>180</v>
      </c>
      <c r="E29" s="7" t="s">
        <v>181</v>
      </c>
      <c r="F29" s="7" t="s">
        <v>182</v>
      </c>
      <c r="G29" s="7">
        <f>SUMPRODUCT(ISNUMBER(SEARCH($A29,'Automated Tests'!$F$5:$F$78))*'Automated Tests'!$E$5:$E$78)</f>
        <v>0</v>
      </c>
      <c r="H29" s="7"/>
      <c r="I29" s="8" t="s">
        <v>183</v>
      </c>
      <c r="J29" s="8" t="s">
        <v>184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8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32" customWidth="1"/>
    <col min="3" max="3" width="52" customWidth="1"/>
    <col min="4" max="4" width="13" customWidth="1"/>
    <col min="5" max="5" width="10" customWidth="1"/>
    <col min="6" max="6" width="26" customWidth="1"/>
    <col min="7" max="7" width="10" customWidth="1"/>
    <col min="8" max="8" width="60" customWidth="1"/>
  </cols>
  <sheetData>
    <row r="1" spans="1:8" ht="18" x14ac:dyDescent="0.4">
      <c r="A1" s="1" t="s">
        <v>185</v>
      </c>
    </row>
    <row r="2" spans="1:8" x14ac:dyDescent="0.35">
      <c r="A2" s="5" t="s">
        <v>186</v>
      </c>
    </row>
    <row r="4" spans="1:8" ht="28" x14ac:dyDescent="0.35">
      <c r="A4" s="6" t="s">
        <v>187</v>
      </c>
      <c r="B4" s="6" t="s">
        <v>188</v>
      </c>
      <c r="C4" s="6" t="s">
        <v>189</v>
      </c>
      <c r="D4" s="6" t="s">
        <v>190</v>
      </c>
      <c r="E4" s="6" t="s">
        <v>191</v>
      </c>
      <c r="F4" s="6" t="s">
        <v>192</v>
      </c>
      <c r="G4" s="6" t="s">
        <v>193</v>
      </c>
      <c r="H4" s="6" t="s">
        <v>194</v>
      </c>
    </row>
    <row r="5" spans="1:8" x14ac:dyDescent="0.35">
      <c r="A5" s="7">
        <v>1</v>
      </c>
      <c r="B5" s="7" t="s">
        <v>195</v>
      </c>
      <c r="C5" s="7" t="s">
        <v>196</v>
      </c>
      <c r="D5" s="7" t="s">
        <v>197</v>
      </c>
      <c r="E5" s="7">
        <v>1</v>
      </c>
      <c r="F5" s="7" t="s">
        <v>28</v>
      </c>
      <c r="G5" s="8" t="s">
        <v>184</v>
      </c>
      <c r="H5" s="7" t="s">
        <v>28</v>
      </c>
    </row>
    <row r="6" spans="1:8" x14ac:dyDescent="0.35">
      <c r="A6" s="7">
        <v>2</v>
      </c>
      <c r="B6" s="7" t="s">
        <v>195</v>
      </c>
      <c r="C6" s="7" t="s">
        <v>198</v>
      </c>
      <c r="D6" s="7" t="s">
        <v>197</v>
      </c>
      <c r="E6" s="7">
        <v>1</v>
      </c>
      <c r="F6" s="7" t="s">
        <v>35</v>
      </c>
      <c r="G6" s="8" t="s">
        <v>184</v>
      </c>
      <c r="H6" s="7" t="s">
        <v>35</v>
      </c>
    </row>
    <row r="7" spans="1:8" x14ac:dyDescent="0.35">
      <c r="A7" s="7">
        <v>3</v>
      </c>
      <c r="B7" s="7" t="s">
        <v>195</v>
      </c>
      <c r="C7" s="7" t="s">
        <v>199</v>
      </c>
      <c r="D7" s="7" t="s">
        <v>197</v>
      </c>
      <c r="E7" s="7">
        <v>1</v>
      </c>
      <c r="F7" s="7" t="s">
        <v>35</v>
      </c>
      <c r="G7" s="8" t="s">
        <v>184</v>
      </c>
      <c r="H7" s="7" t="s">
        <v>200</v>
      </c>
    </row>
    <row r="8" spans="1:8" x14ac:dyDescent="0.35">
      <c r="A8" s="7">
        <v>4</v>
      </c>
      <c r="B8" s="7" t="s">
        <v>195</v>
      </c>
      <c r="C8" s="7" t="s">
        <v>201</v>
      </c>
      <c r="D8" s="7" t="s">
        <v>197</v>
      </c>
      <c r="E8" s="7">
        <v>1</v>
      </c>
      <c r="F8" s="7" t="s">
        <v>202</v>
      </c>
      <c r="G8" s="8" t="s">
        <v>184</v>
      </c>
      <c r="H8" s="7" t="s">
        <v>203</v>
      </c>
    </row>
    <row r="9" spans="1:8" ht="28" x14ac:dyDescent="0.35">
      <c r="A9" s="7">
        <v>5</v>
      </c>
      <c r="B9" s="7" t="s">
        <v>195</v>
      </c>
      <c r="C9" s="7" t="s">
        <v>204</v>
      </c>
      <c r="D9" s="7" t="s">
        <v>197</v>
      </c>
      <c r="E9" s="7">
        <v>1</v>
      </c>
      <c r="F9" s="7" t="s">
        <v>35</v>
      </c>
      <c r="G9" s="8" t="s">
        <v>184</v>
      </c>
      <c r="H9" s="7" t="s">
        <v>205</v>
      </c>
    </row>
    <row r="10" spans="1:8" x14ac:dyDescent="0.35">
      <c r="A10" s="7">
        <v>6</v>
      </c>
      <c r="B10" s="7" t="s">
        <v>195</v>
      </c>
      <c r="C10" s="7" t="s">
        <v>206</v>
      </c>
      <c r="D10" s="7" t="s">
        <v>197</v>
      </c>
      <c r="E10" s="7">
        <v>1</v>
      </c>
      <c r="F10" s="7" t="s">
        <v>171</v>
      </c>
      <c r="G10" s="8" t="s">
        <v>184</v>
      </c>
      <c r="H10" s="7" t="s">
        <v>207</v>
      </c>
    </row>
    <row r="11" spans="1:8" x14ac:dyDescent="0.35">
      <c r="A11" s="7">
        <v>7</v>
      </c>
      <c r="B11" s="7" t="s">
        <v>195</v>
      </c>
      <c r="C11" s="7" t="s">
        <v>208</v>
      </c>
      <c r="D11" s="7" t="s">
        <v>197</v>
      </c>
      <c r="E11" s="7">
        <v>1</v>
      </c>
      <c r="F11" s="7" t="s">
        <v>49</v>
      </c>
      <c r="G11" s="8" t="s">
        <v>184</v>
      </c>
      <c r="H11" s="7" t="s">
        <v>49</v>
      </c>
    </row>
    <row r="12" spans="1:8" x14ac:dyDescent="0.35">
      <c r="A12" s="7">
        <v>8</v>
      </c>
      <c r="B12" s="7" t="s">
        <v>195</v>
      </c>
      <c r="C12" s="7" t="s">
        <v>209</v>
      </c>
      <c r="D12" s="7" t="s">
        <v>197</v>
      </c>
      <c r="E12" s="7">
        <v>1</v>
      </c>
      <c r="F12" s="7" t="s">
        <v>49</v>
      </c>
      <c r="G12" s="8" t="s">
        <v>184</v>
      </c>
      <c r="H12" s="7" t="s">
        <v>210</v>
      </c>
    </row>
    <row r="13" spans="1:8" x14ac:dyDescent="0.35">
      <c r="A13" s="7">
        <v>9</v>
      </c>
      <c r="B13" s="7" t="s">
        <v>195</v>
      </c>
      <c r="C13" s="7" t="s">
        <v>211</v>
      </c>
      <c r="D13" s="7" t="s">
        <v>197</v>
      </c>
      <c r="E13" s="7">
        <v>1</v>
      </c>
      <c r="F13" s="7" t="s">
        <v>49</v>
      </c>
      <c r="G13" s="8" t="s">
        <v>184</v>
      </c>
      <c r="H13" s="7" t="s">
        <v>212</v>
      </c>
    </row>
    <row r="14" spans="1:8" x14ac:dyDescent="0.35">
      <c r="A14" s="7">
        <v>10</v>
      </c>
      <c r="B14" s="7" t="s">
        <v>195</v>
      </c>
      <c r="C14" s="7" t="s">
        <v>213</v>
      </c>
      <c r="D14" s="7" t="s">
        <v>197</v>
      </c>
      <c r="E14" s="7">
        <v>1</v>
      </c>
      <c r="F14" s="7" t="s">
        <v>153</v>
      </c>
      <c r="G14" s="8" t="s">
        <v>184</v>
      </c>
      <c r="H14" s="7" t="s">
        <v>153</v>
      </c>
    </row>
    <row r="15" spans="1:8" x14ac:dyDescent="0.35">
      <c r="A15" s="7">
        <v>11</v>
      </c>
      <c r="B15" s="7" t="s">
        <v>195</v>
      </c>
      <c r="C15" s="7" t="s">
        <v>214</v>
      </c>
      <c r="D15" s="7" t="s">
        <v>197</v>
      </c>
      <c r="E15" s="7">
        <v>1</v>
      </c>
      <c r="F15" s="7" t="s">
        <v>153</v>
      </c>
      <c r="G15" s="8" t="s">
        <v>184</v>
      </c>
      <c r="H15" s="7" t="s">
        <v>215</v>
      </c>
    </row>
    <row r="16" spans="1:8" x14ac:dyDescent="0.35">
      <c r="A16" s="7">
        <v>12</v>
      </c>
      <c r="B16" s="7" t="s">
        <v>195</v>
      </c>
      <c r="C16" s="7" t="s">
        <v>216</v>
      </c>
      <c r="D16" s="7" t="s">
        <v>197</v>
      </c>
      <c r="E16" s="7">
        <v>1</v>
      </c>
      <c r="F16" s="7" t="s">
        <v>153</v>
      </c>
      <c r="G16" s="8" t="s">
        <v>184</v>
      </c>
      <c r="H16" s="7" t="s">
        <v>212</v>
      </c>
    </row>
    <row r="17" spans="1:8" x14ac:dyDescent="0.35">
      <c r="A17" s="7">
        <v>13</v>
      </c>
      <c r="B17" s="7" t="s">
        <v>195</v>
      </c>
      <c r="C17" s="7" t="s">
        <v>217</v>
      </c>
      <c r="D17" s="7" t="s">
        <v>197</v>
      </c>
      <c r="E17" s="7">
        <v>1</v>
      </c>
      <c r="F17" s="7" t="s">
        <v>153</v>
      </c>
      <c r="G17" s="8" t="s">
        <v>184</v>
      </c>
      <c r="H17" s="7" t="s">
        <v>212</v>
      </c>
    </row>
    <row r="18" spans="1:8" x14ac:dyDescent="0.35">
      <c r="A18" s="7">
        <v>14</v>
      </c>
      <c r="B18" s="7" t="s">
        <v>195</v>
      </c>
      <c r="C18" s="7" t="s">
        <v>218</v>
      </c>
      <c r="D18" s="7" t="s">
        <v>197</v>
      </c>
      <c r="E18" s="7">
        <v>1</v>
      </c>
      <c r="F18" s="7" t="s">
        <v>49</v>
      </c>
      <c r="G18" s="8" t="s">
        <v>184</v>
      </c>
      <c r="H18" s="7" t="s">
        <v>212</v>
      </c>
    </row>
    <row r="19" spans="1:8" x14ac:dyDescent="0.35">
      <c r="A19" s="7">
        <v>15</v>
      </c>
      <c r="B19" s="7" t="s">
        <v>195</v>
      </c>
      <c r="C19" s="7" t="s">
        <v>219</v>
      </c>
      <c r="D19" s="7" t="s">
        <v>197</v>
      </c>
      <c r="E19" s="7">
        <v>1</v>
      </c>
      <c r="F19" s="7" t="s">
        <v>49</v>
      </c>
      <c r="G19" s="8" t="s">
        <v>184</v>
      </c>
      <c r="H19" s="7" t="s">
        <v>212</v>
      </c>
    </row>
    <row r="20" spans="1:8" x14ac:dyDescent="0.35">
      <c r="A20" s="7">
        <v>16</v>
      </c>
      <c r="B20" s="7" t="s">
        <v>195</v>
      </c>
      <c r="C20" s="7" t="s">
        <v>220</v>
      </c>
      <c r="D20" s="7" t="s">
        <v>197</v>
      </c>
      <c r="E20" s="7">
        <v>1</v>
      </c>
      <c r="F20" s="7" t="s">
        <v>153</v>
      </c>
      <c r="G20" s="8" t="s">
        <v>184</v>
      </c>
      <c r="H20" s="7" t="s">
        <v>212</v>
      </c>
    </row>
    <row r="21" spans="1:8" x14ac:dyDescent="0.35">
      <c r="A21" s="7">
        <v>17</v>
      </c>
      <c r="B21" s="7" t="s">
        <v>221</v>
      </c>
      <c r="C21" s="7" t="s">
        <v>222</v>
      </c>
      <c r="D21" s="7" t="s">
        <v>197</v>
      </c>
      <c r="E21" s="7">
        <v>1</v>
      </c>
      <c r="F21" s="7" t="s">
        <v>97</v>
      </c>
      <c r="G21" s="8" t="s">
        <v>184</v>
      </c>
      <c r="H21" s="7" t="s">
        <v>97</v>
      </c>
    </row>
    <row r="22" spans="1:8" x14ac:dyDescent="0.35">
      <c r="A22" s="7">
        <v>18</v>
      </c>
      <c r="B22" s="7" t="s">
        <v>221</v>
      </c>
      <c r="C22" s="7" t="s">
        <v>223</v>
      </c>
      <c r="D22" s="7" t="s">
        <v>197</v>
      </c>
      <c r="E22" s="7">
        <v>1</v>
      </c>
      <c r="F22" s="7" t="s">
        <v>97</v>
      </c>
      <c r="G22" s="8" t="s">
        <v>184</v>
      </c>
      <c r="H22" s="7" t="s">
        <v>224</v>
      </c>
    </row>
    <row r="23" spans="1:8" x14ac:dyDescent="0.35">
      <c r="A23" s="7">
        <v>19</v>
      </c>
      <c r="B23" s="7" t="s">
        <v>221</v>
      </c>
      <c r="C23" s="7" t="s">
        <v>225</v>
      </c>
      <c r="D23" s="7" t="s">
        <v>197</v>
      </c>
      <c r="E23" s="7">
        <v>1</v>
      </c>
      <c r="F23" s="7" t="s">
        <v>103</v>
      </c>
      <c r="G23" s="8" t="s">
        <v>184</v>
      </c>
      <c r="H23" s="7" t="s">
        <v>226</v>
      </c>
    </row>
    <row r="24" spans="1:8" x14ac:dyDescent="0.35">
      <c r="A24" s="7">
        <v>20</v>
      </c>
      <c r="B24" s="7" t="s">
        <v>221</v>
      </c>
      <c r="C24" s="7" t="s">
        <v>227</v>
      </c>
      <c r="D24" s="7" t="s">
        <v>197</v>
      </c>
      <c r="E24" s="7">
        <v>1</v>
      </c>
      <c r="F24" s="7" t="s">
        <v>103</v>
      </c>
      <c r="G24" s="8" t="s">
        <v>184</v>
      </c>
      <c r="H24" s="7" t="s">
        <v>212</v>
      </c>
    </row>
    <row r="25" spans="1:8" x14ac:dyDescent="0.35">
      <c r="A25" s="7">
        <v>21</v>
      </c>
      <c r="B25" s="7" t="s">
        <v>221</v>
      </c>
      <c r="C25" s="7" t="s">
        <v>228</v>
      </c>
      <c r="D25" s="7" t="s">
        <v>197</v>
      </c>
      <c r="E25" s="7">
        <v>1</v>
      </c>
      <c r="F25" s="7" t="s">
        <v>109</v>
      </c>
      <c r="G25" s="8" t="s">
        <v>184</v>
      </c>
      <c r="H25" s="7" t="s">
        <v>109</v>
      </c>
    </row>
    <row r="26" spans="1:8" x14ac:dyDescent="0.35">
      <c r="A26" s="7">
        <v>22</v>
      </c>
      <c r="B26" s="7" t="s">
        <v>221</v>
      </c>
      <c r="C26" s="7" t="s">
        <v>229</v>
      </c>
      <c r="D26" s="7" t="s">
        <v>197</v>
      </c>
      <c r="E26" s="7">
        <v>1</v>
      </c>
      <c r="F26" s="7" t="s">
        <v>109</v>
      </c>
      <c r="G26" s="8" t="s">
        <v>184</v>
      </c>
      <c r="H26" s="7" t="s">
        <v>212</v>
      </c>
    </row>
    <row r="27" spans="1:8" x14ac:dyDescent="0.35">
      <c r="A27" s="7">
        <v>23</v>
      </c>
      <c r="B27" s="7" t="s">
        <v>221</v>
      </c>
      <c r="C27" s="7" t="s">
        <v>230</v>
      </c>
      <c r="D27" s="7" t="s">
        <v>197</v>
      </c>
      <c r="E27" s="7">
        <v>1</v>
      </c>
      <c r="F27" s="7" t="s">
        <v>109</v>
      </c>
      <c r="G27" s="8" t="s">
        <v>184</v>
      </c>
      <c r="H27" s="7" t="s">
        <v>212</v>
      </c>
    </row>
    <row r="28" spans="1:8" x14ac:dyDescent="0.35">
      <c r="A28" s="7">
        <v>24</v>
      </c>
      <c r="B28" s="7" t="s">
        <v>221</v>
      </c>
      <c r="C28" s="7" t="s">
        <v>231</v>
      </c>
      <c r="D28" s="7" t="s">
        <v>197</v>
      </c>
      <c r="E28" s="7">
        <v>1</v>
      </c>
      <c r="F28" s="7" t="s">
        <v>109</v>
      </c>
      <c r="G28" s="8" t="s">
        <v>184</v>
      </c>
      <c r="H28" s="7" t="s">
        <v>212</v>
      </c>
    </row>
    <row r="29" spans="1:8" x14ac:dyDescent="0.35">
      <c r="A29" s="7">
        <v>25</v>
      </c>
      <c r="B29" s="7" t="s">
        <v>221</v>
      </c>
      <c r="C29" s="7" t="s">
        <v>232</v>
      </c>
      <c r="D29" s="7" t="s">
        <v>197</v>
      </c>
      <c r="E29" s="7">
        <v>1</v>
      </c>
      <c r="F29" s="7" t="s">
        <v>115</v>
      </c>
      <c r="G29" s="8" t="s">
        <v>184</v>
      </c>
      <c r="H29" s="7" t="s">
        <v>115</v>
      </c>
    </row>
    <row r="30" spans="1:8" x14ac:dyDescent="0.35">
      <c r="A30" s="7">
        <v>26</v>
      </c>
      <c r="B30" s="7" t="s">
        <v>221</v>
      </c>
      <c r="C30" s="7" t="s">
        <v>233</v>
      </c>
      <c r="D30" s="7" t="s">
        <v>197</v>
      </c>
      <c r="E30" s="7">
        <v>1</v>
      </c>
      <c r="F30" s="7" t="s">
        <v>115</v>
      </c>
      <c r="G30" s="8" t="s">
        <v>184</v>
      </c>
      <c r="H30" s="7" t="s">
        <v>234</v>
      </c>
    </row>
    <row r="31" spans="1:8" x14ac:dyDescent="0.35">
      <c r="A31" s="7">
        <v>27</v>
      </c>
      <c r="B31" s="7" t="s">
        <v>221</v>
      </c>
      <c r="C31" s="7" t="s">
        <v>235</v>
      </c>
      <c r="D31" s="7" t="s">
        <v>197</v>
      </c>
      <c r="E31" s="7">
        <v>1</v>
      </c>
      <c r="F31" s="7" t="s">
        <v>121</v>
      </c>
      <c r="G31" s="8" t="s">
        <v>184</v>
      </c>
      <c r="H31" s="7" t="s">
        <v>121</v>
      </c>
    </row>
    <row r="32" spans="1:8" x14ac:dyDescent="0.35">
      <c r="A32" s="7">
        <v>28</v>
      </c>
      <c r="B32" s="7" t="s">
        <v>221</v>
      </c>
      <c r="C32" s="7" t="s">
        <v>236</v>
      </c>
      <c r="D32" s="7" t="s">
        <v>197</v>
      </c>
      <c r="E32" s="7">
        <v>1</v>
      </c>
      <c r="F32" s="7" t="s">
        <v>121</v>
      </c>
      <c r="G32" s="8" t="s">
        <v>184</v>
      </c>
      <c r="H32" s="7" t="s">
        <v>237</v>
      </c>
    </row>
    <row r="33" spans="1:8" x14ac:dyDescent="0.35">
      <c r="A33" s="7">
        <v>29</v>
      </c>
      <c r="B33" s="7" t="s">
        <v>221</v>
      </c>
      <c r="C33" s="7" t="s">
        <v>238</v>
      </c>
      <c r="D33" s="7" t="s">
        <v>197</v>
      </c>
      <c r="E33" s="7">
        <v>1</v>
      </c>
      <c r="F33" s="7" t="s">
        <v>127</v>
      </c>
      <c r="G33" s="8" t="s">
        <v>184</v>
      </c>
      <c r="H33" s="7" t="s">
        <v>127</v>
      </c>
    </row>
    <row r="34" spans="1:8" x14ac:dyDescent="0.35">
      <c r="A34" s="7">
        <v>30</v>
      </c>
      <c r="B34" s="7" t="s">
        <v>221</v>
      </c>
      <c r="C34" s="7" t="s">
        <v>239</v>
      </c>
      <c r="D34" s="7" t="s">
        <v>197</v>
      </c>
      <c r="E34" s="7">
        <v>1</v>
      </c>
      <c r="F34" s="7" t="s">
        <v>165</v>
      </c>
      <c r="G34" s="8" t="s">
        <v>184</v>
      </c>
      <c r="H34" s="7" t="s">
        <v>240</v>
      </c>
    </row>
    <row r="35" spans="1:8" x14ac:dyDescent="0.35">
      <c r="A35" s="7">
        <v>31</v>
      </c>
      <c r="B35" s="7" t="s">
        <v>221</v>
      </c>
      <c r="C35" s="7" t="s">
        <v>241</v>
      </c>
      <c r="D35" s="7" t="s">
        <v>197</v>
      </c>
      <c r="E35" s="7">
        <v>1</v>
      </c>
      <c r="F35" s="7" t="s">
        <v>165</v>
      </c>
      <c r="G35" s="8" t="s">
        <v>184</v>
      </c>
      <c r="H35" s="7" t="s">
        <v>165</v>
      </c>
    </row>
    <row r="36" spans="1:8" ht="28" x14ac:dyDescent="0.35">
      <c r="A36" s="7">
        <v>32</v>
      </c>
      <c r="B36" s="7" t="s">
        <v>221</v>
      </c>
      <c r="C36" s="7" t="s">
        <v>242</v>
      </c>
      <c r="D36" s="7" t="s">
        <v>197</v>
      </c>
      <c r="E36" s="7">
        <v>1</v>
      </c>
      <c r="F36" s="7" t="s">
        <v>147</v>
      </c>
      <c r="G36" s="8" t="s">
        <v>184</v>
      </c>
      <c r="H36" s="7" t="s">
        <v>243</v>
      </c>
    </row>
    <row r="37" spans="1:8" x14ac:dyDescent="0.35">
      <c r="A37" s="7">
        <v>33</v>
      </c>
      <c r="B37" s="7" t="s">
        <v>221</v>
      </c>
      <c r="C37" s="7" t="s">
        <v>244</v>
      </c>
      <c r="D37" s="7" t="s">
        <v>197</v>
      </c>
      <c r="E37" s="7">
        <v>1</v>
      </c>
      <c r="F37" s="7" t="s">
        <v>97</v>
      </c>
      <c r="G37" s="8" t="s">
        <v>184</v>
      </c>
      <c r="H37" s="7" t="s">
        <v>212</v>
      </c>
    </row>
    <row r="38" spans="1:8" x14ac:dyDescent="0.35">
      <c r="A38" s="7">
        <v>34</v>
      </c>
      <c r="B38" s="7" t="s">
        <v>221</v>
      </c>
      <c r="C38" s="7" t="s">
        <v>245</v>
      </c>
      <c r="D38" s="7" t="s">
        <v>197</v>
      </c>
      <c r="E38" s="7">
        <v>1</v>
      </c>
      <c r="F38" s="7" t="s">
        <v>246</v>
      </c>
      <c r="G38" s="8" t="s">
        <v>184</v>
      </c>
      <c r="H38" s="7" t="s">
        <v>212</v>
      </c>
    </row>
    <row r="39" spans="1:8" x14ac:dyDescent="0.35">
      <c r="A39" s="7">
        <v>35</v>
      </c>
      <c r="B39" s="7" t="s">
        <v>221</v>
      </c>
      <c r="C39" s="7" t="s">
        <v>247</v>
      </c>
      <c r="D39" s="7" t="s">
        <v>197</v>
      </c>
      <c r="E39" s="7">
        <v>1</v>
      </c>
      <c r="F39" s="7" t="s">
        <v>127</v>
      </c>
      <c r="G39" s="8" t="s">
        <v>184</v>
      </c>
      <c r="H39" s="7" t="s">
        <v>248</v>
      </c>
    </row>
    <row r="40" spans="1:8" x14ac:dyDescent="0.35">
      <c r="A40" s="7">
        <v>36</v>
      </c>
      <c r="B40" s="7" t="s">
        <v>221</v>
      </c>
      <c r="C40" s="7" t="s">
        <v>249</v>
      </c>
      <c r="D40" s="7" t="s">
        <v>197</v>
      </c>
      <c r="E40" s="7">
        <v>1</v>
      </c>
      <c r="F40" s="7" t="s">
        <v>127</v>
      </c>
      <c r="G40" s="8" t="s">
        <v>184</v>
      </c>
      <c r="H40" s="7" t="s">
        <v>127</v>
      </c>
    </row>
    <row r="41" spans="1:8" ht="28" x14ac:dyDescent="0.35">
      <c r="A41" s="7">
        <v>37</v>
      </c>
      <c r="B41" s="7" t="s">
        <v>221</v>
      </c>
      <c r="C41" s="7" t="s">
        <v>250</v>
      </c>
      <c r="D41" s="7" t="s">
        <v>197</v>
      </c>
      <c r="E41" s="7">
        <v>1</v>
      </c>
      <c r="F41" s="7" t="s">
        <v>127</v>
      </c>
      <c r="G41" s="8" t="s">
        <v>184</v>
      </c>
      <c r="H41" s="7" t="s">
        <v>251</v>
      </c>
    </row>
    <row r="42" spans="1:8" x14ac:dyDescent="0.35">
      <c r="A42" s="7">
        <v>38</v>
      </c>
      <c r="B42" s="7" t="s">
        <v>221</v>
      </c>
      <c r="C42" s="7" t="s">
        <v>252</v>
      </c>
      <c r="D42" s="7" t="s">
        <v>197</v>
      </c>
      <c r="E42" s="7">
        <v>1</v>
      </c>
      <c r="F42" s="7" t="s">
        <v>127</v>
      </c>
      <c r="G42" s="8" t="s">
        <v>184</v>
      </c>
      <c r="H42" s="7" t="s">
        <v>212</v>
      </c>
    </row>
    <row r="43" spans="1:8" x14ac:dyDescent="0.35">
      <c r="A43" s="7">
        <v>39</v>
      </c>
      <c r="B43" s="7" t="s">
        <v>221</v>
      </c>
      <c r="C43" s="7" t="s">
        <v>253</v>
      </c>
      <c r="D43" s="7" t="s">
        <v>197</v>
      </c>
      <c r="E43" s="7">
        <v>1</v>
      </c>
      <c r="F43" s="7" t="s">
        <v>115</v>
      </c>
      <c r="G43" s="8" t="s">
        <v>184</v>
      </c>
      <c r="H43" s="7" t="s">
        <v>212</v>
      </c>
    </row>
    <row r="44" spans="1:8" x14ac:dyDescent="0.35">
      <c r="A44" s="7">
        <v>40</v>
      </c>
      <c r="B44" s="7" t="s">
        <v>254</v>
      </c>
      <c r="C44" s="7" t="s">
        <v>48</v>
      </c>
      <c r="D44" s="7" t="s">
        <v>255</v>
      </c>
      <c r="E44" s="7">
        <v>1</v>
      </c>
      <c r="F44" s="7" t="s">
        <v>256</v>
      </c>
      <c r="G44" s="8" t="s">
        <v>184</v>
      </c>
      <c r="H44" s="7" t="s">
        <v>257</v>
      </c>
    </row>
    <row r="45" spans="1:8" x14ac:dyDescent="0.35">
      <c r="A45" s="7">
        <v>41</v>
      </c>
      <c r="B45" s="7" t="s">
        <v>254</v>
      </c>
      <c r="C45" s="7" t="s">
        <v>258</v>
      </c>
      <c r="D45" s="7" t="s">
        <v>255</v>
      </c>
      <c r="E45" s="7">
        <v>1</v>
      </c>
      <c r="F45" s="7" t="s">
        <v>49</v>
      </c>
      <c r="G45" s="8" t="s">
        <v>184</v>
      </c>
      <c r="H45" s="7" t="s">
        <v>259</v>
      </c>
    </row>
    <row r="46" spans="1:8" x14ac:dyDescent="0.35">
      <c r="A46" s="7">
        <v>42</v>
      </c>
      <c r="B46" s="7" t="s">
        <v>254</v>
      </c>
      <c r="C46" s="7" t="s">
        <v>260</v>
      </c>
      <c r="D46" s="7" t="s">
        <v>255</v>
      </c>
      <c r="E46" s="7">
        <v>1</v>
      </c>
      <c r="F46" s="7" t="s">
        <v>159</v>
      </c>
      <c r="G46" s="8" t="s">
        <v>184</v>
      </c>
      <c r="H46" s="7" t="s">
        <v>261</v>
      </c>
    </row>
    <row r="47" spans="1:8" x14ac:dyDescent="0.35">
      <c r="A47" s="7">
        <v>43</v>
      </c>
      <c r="B47" s="7" t="s">
        <v>254</v>
      </c>
      <c r="C47" s="7" t="s">
        <v>262</v>
      </c>
      <c r="D47" s="7" t="s">
        <v>255</v>
      </c>
      <c r="E47" s="7">
        <v>1</v>
      </c>
      <c r="F47" s="7" t="s">
        <v>35</v>
      </c>
      <c r="G47" s="8" t="s">
        <v>184</v>
      </c>
      <c r="H47" s="7" t="s">
        <v>263</v>
      </c>
    </row>
    <row r="48" spans="1:8" x14ac:dyDescent="0.35">
      <c r="A48" s="7">
        <v>44</v>
      </c>
      <c r="B48" s="7" t="s">
        <v>254</v>
      </c>
      <c r="C48" s="7" t="s">
        <v>264</v>
      </c>
      <c r="D48" s="7" t="s">
        <v>255</v>
      </c>
      <c r="E48" s="7">
        <v>1</v>
      </c>
      <c r="F48" s="7" t="s">
        <v>165</v>
      </c>
      <c r="G48" s="8" t="s">
        <v>184</v>
      </c>
      <c r="H48" s="7" t="s">
        <v>212</v>
      </c>
    </row>
    <row r="49" spans="1:8" x14ac:dyDescent="0.35">
      <c r="A49" s="7">
        <v>45</v>
      </c>
      <c r="B49" s="7" t="s">
        <v>254</v>
      </c>
      <c r="C49" s="7" t="s">
        <v>265</v>
      </c>
      <c r="D49" s="7" t="s">
        <v>255</v>
      </c>
      <c r="E49" s="7">
        <v>1</v>
      </c>
      <c r="F49" s="7" t="s">
        <v>55</v>
      </c>
      <c r="G49" s="8" t="s">
        <v>184</v>
      </c>
      <c r="H49" s="7" t="s">
        <v>55</v>
      </c>
    </row>
    <row r="50" spans="1:8" x14ac:dyDescent="0.35">
      <c r="A50" s="7">
        <v>46</v>
      </c>
      <c r="B50" s="7" t="s">
        <v>254</v>
      </c>
      <c r="C50" s="7" t="s">
        <v>266</v>
      </c>
      <c r="D50" s="7" t="s">
        <v>255</v>
      </c>
      <c r="E50" s="7">
        <v>1</v>
      </c>
      <c r="F50" s="7" t="s">
        <v>115</v>
      </c>
      <c r="G50" s="8" t="s">
        <v>184</v>
      </c>
      <c r="H50" s="7" t="s">
        <v>267</v>
      </c>
    </row>
    <row r="51" spans="1:8" x14ac:dyDescent="0.35">
      <c r="A51" s="7">
        <v>47</v>
      </c>
      <c r="B51" s="7" t="s">
        <v>254</v>
      </c>
      <c r="C51" s="7" t="s">
        <v>268</v>
      </c>
      <c r="D51" s="7" t="s">
        <v>255</v>
      </c>
      <c r="E51" s="7">
        <v>6</v>
      </c>
      <c r="F51" s="7" t="s">
        <v>171</v>
      </c>
      <c r="G51" s="8" t="s">
        <v>184</v>
      </c>
      <c r="H51" s="7" t="s">
        <v>269</v>
      </c>
    </row>
    <row r="52" spans="1:8" x14ac:dyDescent="0.35">
      <c r="A52" s="7">
        <v>48</v>
      </c>
      <c r="B52" s="7" t="s">
        <v>254</v>
      </c>
      <c r="C52" s="7" t="s">
        <v>270</v>
      </c>
      <c r="D52" s="7" t="s">
        <v>255</v>
      </c>
      <c r="E52" s="7">
        <v>7</v>
      </c>
      <c r="F52" s="7" t="s">
        <v>271</v>
      </c>
      <c r="G52" s="8" t="s">
        <v>184</v>
      </c>
      <c r="H52" s="7" t="s">
        <v>272</v>
      </c>
    </row>
    <row r="53" spans="1:8" x14ac:dyDescent="0.35">
      <c r="A53" s="7">
        <v>49</v>
      </c>
      <c r="B53" s="7" t="s">
        <v>273</v>
      </c>
      <c r="C53" s="7" t="s">
        <v>274</v>
      </c>
      <c r="D53" s="7" t="s">
        <v>197</v>
      </c>
      <c r="E53" s="7">
        <v>1</v>
      </c>
      <c r="F53" s="7" t="s">
        <v>55</v>
      </c>
      <c r="G53" s="8" t="s">
        <v>184</v>
      </c>
      <c r="H53" s="7" t="s">
        <v>275</v>
      </c>
    </row>
    <row r="54" spans="1:8" x14ac:dyDescent="0.35">
      <c r="A54" s="7">
        <v>50</v>
      </c>
      <c r="B54" s="7" t="s">
        <v>273</v>
      </c>
      <c r="C54" s="7" t="s">
        <v>276</v>
      </c>
      <c r="D54" s="7" t="s">
        <v>197</v>
      </c>
      <c r="E54" s="7">
        <v>1</v>
      </c>
      <c r="F54" s="7" t="s">
        <v>55</v>
      </c>
      <c r="G54" s="8" t="s">
        <v>184</v>
      </c>
      <c r="H54" s="7" t="s">
        <v>212</v>
      </c>
    </row>
    <row r="55" spans="1:8" x14ac:dyDescent="0.35">
      <c r="A55" s="7">
        <v>51</v>
      </c>
      <c r="B55" s="7" t="s">
        <v>273</v>
      </c>
      <c r="C55" s="7" t="s">
        <v>277</v>
      </c>
      <c r="D55" s="7" t="s">
        <v>197</v>
      </c>
      <c r="E55" s="7">
        <v>1</v>
      </c>
      <c r="F55" s="7" t="s">
        <v>61</v>
      </c>
      <c r="G55" s="8" t="s">
        <v>184</v>
      </c>
      <c r="H55" s="7" t="s">
        <v>61</v>
      </c>
    </row>
    <row r="56" spans="1:8" x14ac:dyDescent="0.35">
      <c r="A56" s="7">
        <v>52</v>
      </c>
      <c r="B56" s="7" t="s">
        <v>273</v>
      </c>
      <c r="C56" s="7" t="s">
        <v>278</v>
      </c>
      <c r="D56" s="7" t="s">
        <v>197</v>
      </c>
      <c r="E56" s="7">
        <v>1</v>
      </c>
      <c r="F56" s="7" t="s">
        <v>61</v>
      </c>
      <c r="G56" s="8" t="s">
        <v>184</v>
      </c>
      <c r="H56" s="7" t="s">
        <v>212</v>
      </c>
    </row>
    <row r="57" spans="1:8" x14ac:dyDescent="0.35">
      <c r="A57" s="7">
        <v>53</v>
      </c>
      <c r="B57" s="7" t="s">
        <v>273</v>
      </c>
      <c r="C57" s="7" t="s">
        <v>279</v>
      </c>
      <c r="D57" s="7" t="s">
        <v>197</v>
      </c>
      <c r="E57" s="7">
        <v>1</v>
      </c>
      <c r="F57" s="7" t="s">
        <v>55</v>
      </c>
      <c r="G57" s="8" t="s">
        <v>184</v>
      </c>
      <c r="H57" s="7" t="s">
        <v>280</v>
      </c>
    </row>
    <row r="58" spans="1:8" x14ac:dyDescent="0.35">
      <c r="A58" s="7">
        <v>54</v>
      </c>
      <c r="B58" s="7" t="s">
        <v>273</v>
      </c>
      <c r="C58" s="7" t="s">
        <v>281</v>
      </c>
      <c r="D58" s="7" t="s">
        <v>197</v>
      </c>
      <c r="E58" s="7">
        <v>1</v>
      </c>
      <c r="F58" s="7" t="s">
        <v>73</v>
      </c>
      <c r="G58" s="8" t="s">
        <v>184</v>
      </c>
      <c r="H58" s="7" t="s">
        <v>282</v>
      </c>
    </row>
    <row r="59" spans="1:8" ht="28" x14ac:dyDescent="0.35">
      <c r="A59" s="7">
        <v>55</v>
      </c>
      <c r="B59" s="7" t="s">
        <v>273</v>
      </c>
      <c r="C59" s="7" t="s">
        <v>283</v>
      </c>
      <c r="D59" s="7" t="s">
        <v>197</v>
      </c>
      <c r="E59" s="7">
        <v>1</v>
      </c>
      <c r="F59" s="7" t="s">
        <v>284</v>
      </c>
      <c r="G59" s="8" t="s">
        <v>184</v>
      </c>
      <c r="H59" s="7" t="s">
        <v>285</v>
      </c>
    </row>
    <row r="60" spans="1:8" x14ac:dyDescent="0.35">
      <c r="A60" s="7">
        <v>56</v>
      </c>
      <c r="B60" s="7" t="s">
        <v>273</v>
      </c>
      <c r="C60" s="7" t="s">
        <v>286</v>
      </c>
      <c r="D60" s="7" t="s">
        <v>197</v>
      </c>
      <c r="E60" s="7">
        <v>1</v>
      </c>
      <c r="F60" s="7" t="s">
        <v>67</v>
      </c>
      <c r="G60" s="8" t="s">
        <v>184</v>
      </c>
      <c r="H60" s="7" t="s">
        <v>287</v>
      </c>
    </row>
    <row r="61" spans="1:8" ht="28" x14ac:dyDescent="0.35">
      <c r="A61" s="7">
        <v>57</v>
      </c>
      <c r="B61" s="7" t="s">
        <v>273</v>
      </c>
      <c r="C61" s="7" t="s">
        <v>288</v>
      </c>
      <c r="D61" s="7" t="s">
        <v>197</v>
      </c>
      <c r="E61" s="7">
        <v>1</v>
      </c>
      <c r="F61" s="7" t="s">
        <v>289</v>
      </c>
      <c r="G61" s="8" t="s">
        <v>184</v>
      </c>
      <c r="H61" s="7" t="s">
        <v>290</v>
      </c>
    </row>
    <row r="62" spans="1:8" ht="28" x14ac:dyDescent="0.35">
      <c r="A62" s="7">
        <v>58</v>
      </c>
      <c r="B62" s="7" t="s">
        <v>273</v>
      </c>
      <c r="C62" s="7" t="s">
        <v>291</v>
      </c>
      <c r="D62" s="7" t="s">
        <v>197</v>
      </c>
      <c r="E62" s="7">
        <v>1</v>
      </c>
      <c r="F62" s="7" t="s">
        <v>147</v>
      </c>
      <c r="G62" s="8" t="s">
        <v>184</v>
      </c>
      <c r="H62" s="7" t="s">
        <v>292</v>
      </c>
    </row>
    <row r="63" spans="1:8" ht="28" x14ac:dyDescent="0.35">
      <c r="A63" s="7">
        <v>59</v>
      </c>
      <c r="B63" s="7" t="s">
        <v>273</v>
      </c>
      <c r="C63" s="7" t="s">
        <v>293</v>
      </c>
      <c r="D63" s="7" t="s">
        <v>197</v>
      </c>
      <c r="E63" s="7">
        <v>1</v>
      </c>
      <c r="F63" s="7" t="s">
        <v>147</v>
      </c>
      <c r="G63" s="8" t="s">
        <v>184</v>
      </c>
      <c r="H63" s="7" t="s">
        <v>294</v>
      </c>
    </row>
    <row r="64" spans="1:8" x14ac:dyDescent="0.35">
      <c r="A64" s="7">
        <v>60</v>
      </c>
      <c r="B64" s="7" t="s">
        <v>273</v>
      </c>
      <c r="C64" s="7" t="s">
        <v>295</v>
      </c>
      <c r="D64" s="7" t="s">
        <v>197</v>
      </c>
      <c r="E64" s="7">
        <v>1</v>
      </c>
      <c r="F64" s="7" t="s">
        <v>67</v>
      </c>
      <c r="G64" s="8" t="s">
        <v>184</v>
      </c>
      <c r="H64" s="7" t="s">
        <v>67</v>
      </c>
    </row>
    <row r="65" spans="1:8" x14ac:dyDescent="0.35">
      <c r="A65" s="7">
        <v>61</v>
      </c>
      <c r="B65" s="7" t="s">
        <v>273</v>
      </c>
      <c r="C65" s="7" t="s">
        <v>296</v>
      </c>
      <c r="D65" s="7" t="s">
        <v>197</v>
      </c>
      <c r="E65" s="7">
        <v>1</v>
      </c>
      <c r="F65" s="7" t="s">
        <v>73</v>
      </c>
      <c r="G65" s="8" t="s">
        <v>184</v>
      </c>
      <c r="H65" s="7" t="s">
        <v>212</v>
      </c>
    </row>
    <row r="66" spans="1:8" x14ac:dyDescent="0.35">
      <c r="A66" s="7">
        <v>62</v>
      </c>
      <c r="B66" s="7" t="s">
        <v>273</v>
      </c>
      <c r="C66" s="7" t="s">
        <v>297</v>
      </c>
      <c r="D66" s="7" t="s">
        <v>197</v>
      </c>
      <c r="E66" s="7">
        <v>1</v>
      </c>
      <c r="F66" s="7" t="s">
        <v>85</v>
      </c>
      <c r="G66" s="8" t="s">
        <v>184</v>
      </c>
      <c r="H66" s="7" t="s">
        <v>85</v>
      </c>
    </row>
    <row r="67" spans="1:8" x14ac:dyDescent="0.35">
      <c r="A67" s="7">
        <v>63</v>
      </c>
      <c r="B67" s="7" t="s">
        <v>273</v>
      </c>
      <c r="C67" s="7" t="s">
        <v>298</v>
      </c>
      <c r="D67" s="7" t="s">
        <v>197</v>
      </c>
      <c r="E67" s="7">
        <v>1</v>
      </c>
      <c r="F67" s="7" t="s">
        <v>299</v>
      </c>
      <c r="G67" s="8" t="s">
        <v>184</v>
      </c>
      <c r="H67" s="7" t="s">
        <v>300</v>
      </c>
    </row>
    <row r="68" spans="1:8" x14ac:dyDescent="0.35">
      <c r="A68" s="7">
        <v>64</v>
      </c>
      <c r="B68" s="7" t="s">
        <v>273</v>
      </c>
      <c r="C68" s="7" t="s">
        <v>301</v>
      </c>
      <c r="D68" s="7" t="s">
        <v>197</v>
      </c>
      <c r="E68" s="7">
        <v>1</v>
      </c>
      <c r="F68" s="7" t="s">
        <v>73</v>
      </c>
      <c r="G68" s="8" t="s">
        <v>184</v>
      </c>
      <c r="H68" s="7" t="s">
        <v>212</v>
      </c>
    </row>
    <row r="69" spans="1:8" ht="28" x14ac:dyDescent="0.35">
      <c r="A69" s="7">
        <v>65</v>
      </c>
      <c r="B69" s="7" t="s">
        <v>273</v>
      </c>
      <c r="C69" s="7" t="s">
        <v>302</v>
      </c>
      <c r="D69" s="7" t="s">
        <v>197</v>
      </c>
      <c r="E69" s="7">
        <v>6</v>
      </c>
      <c r="F69" s="7" t="s">
        <v>303</v>
      </c>
      <c r="G69" s="8" t="s">
        <v>184</v>
      </c>
      <c r="H69" s="7" t="s">
        <v>304</v>
      </c>
    </row>
    <row r="70" spans="1:8" x14ac:dyDescent="0.35">
      <c r="A70" s="7">
        <v>66</v>
      </c>
      <c r="B70" s="7" t="s">
        <v>273</v>
      </c>
      <c r="C70" s="7" t="s">
        <v>305</v>
      </c>
      <c r="D70" s="7" t="s">
        <v>197</v>
      </c>
      <c r="E70" s="7">
        <v>1</v>
      </c>
      <c r="F70" s="7" t="s">
        <v>91</v>
      </c>
      <c r="G70" s="8" t="s">
        <v>184</v>
      </c>
      <c r="H70" s="7" t="s">
        <v>306</v>
      </c>
    </row>
    <row r="71" spans="1:8" x14ac:dyDescent="0.35">
      <c r="A71" s="7">
        <v>67</v>
      </c>
      <c r="B71" s="7" t="s">
        <v>273</v>
      </c>
      <c r="C71" s="7" t="s">
        <v>138</v>
      </c>
      <c r="D71" s="7" t="s">
        <v>197</v>
      </c>
      <c r="E71" s="7">
        <v>1</v>
      </c>
      <c r="F71" s="7" t="s">
        <v>133</v>
      </c>
      <c r="G71" s="8" t="s">
        <v>184</v>
      </c>
      <c r="H71" s="7" t="s">
        <v>307</v>
      </c>
    </row>
    <row r="72" spans="1:8" ht="28" x14ac:dyDescent="0.35">
      <c r="A72" s="7">
        <v>68</v>
      </c>
      <c r="B72" s="7" t="s">
        <v>308</v>
      </c>
      <c r="C72" s="7" t="s">
        <v>309</v>
      </c>
      <c r="D72" s="7" t="s">
        <v>197</v>
      </c>
      <c r="E72" s="7">
        <v>1</v>
      </c>
      <c r="F72" s="7" t="s">
        <v>310</v>
      </c>
      <c r="G72" s="8" t="s">
        <v>184</v>
      </c>
      <c r="H72" s="7" t="s">
        <v>311</v>
      </c>
    </row>
    <row r="73" spans="1:8" x14ac:dyDescent="0.35">
      <c r="A73" s="7">
        <v>69</v>
      </c>
      <c r="B73" s="7" t="s">
        <v>308</v>
      </c>
      <c r="C73" s="7" t="s">
        <v>312</v>
      </c>
      <c r="D73" s="7" t="s">
        <v>197</v>
      </c>
      <c r="E73" s="7">
        <v>3</v>
      </c>
      <c r="F73" s="7" t="s">
        <v>91</v>
      </c>
      <c r="G73" s="8" t="s">
        <v>184</v>
      </c>
      <c r="H73" s="7" t="s">
        <v>313</v>
      </c>
    </row>
    <row r="74" spans="1:8" ht="28" x14ac:dyDescent="0.35">
      <c r="A74" s="7">
        <v>70</v>
      </c>
      <c r="B74" s="7" t="s">
        <v>308</v>
      </c>
      <c r="C74" s="7" t="s">
        <v>314</v>
      </c>
      <c r="D74" s="7" t="s">
        <v>197</v>
      </c>
      <c r="E74" s="7">
        <v>1</v>
      </c>
      <c r="F74" s="7" t="s">
        <v>79</v>
      </c>
      <c r="G74" s="8" t="s">
        <v>184</v>
      </c>
      <c r="H74" s="7" t="s">
        <v>315</v>
      </c>
    </row>
    <row r="75" spans="1:8" ht="28" x14ac:dyDescent="0.35">
      <c r="A75" s="7">
        <v>71</v>
      </c>
      <c r="B75" s="7" t="s">
        <v>308</v>
      </c>
      <c r="C75" s="7" t="s">
        <v>316</v>
      </c>
      <c r="D75" s="7" t="s">
        <v>197</v>
      </c>
      <c r="E75" s="7">
        <v>1</v>
      </c>
      <c r="F75" s="7" t="s">
        <v>317</v>
      </c>
      <c r="G75" s="8" t="s">
        <v>184</v>
      </c>
      <c r="H75" s="7" t="s">
        <v>318</v>
      </c>
    </row>
    <row r="76" spans="1:8" x14ac:dyDescent="0.35">
      <c r="A76" s="7">
        <v>72</v>
      </c>
      <c r="B76" s="7" t="s">
        <v>308</v>
      </c>
      <c r="C76" s="7" t="s">
        <v>319</v>
      </c>
      <c r="D76" s="7" t="s">
        <v>197</v>
      </c>
      <c r="E76" s="7">
        <v>3</v>
      </c>
      <c r="F76" s="7" t="s">
        <v>91</v>
      </c>
      <c r="G76" s="8" t="s">
        <v>184</v>
      </c>
      <c r="H76" s="7" t="s">
        <v>320</v>
      </c>
    </row>
    <row r="77" spans="1:8" ht="28" x14ac:dyDescent="0.35">
      <c r="A77" s="7">
        <v>73</v>
      </c>
      <c r="B77" s="7" t="s">
        <v>308</v>
      </c>
      <c r="C77" s="7" t="s">
        <v>321</v>
      </c>
      <c r="D77" s="7" t="s">
        <v>197</v>
      </c>
      <c r="E77" s="7">
        <v>1</v>
      </c>
      <c r="F77" s="7" t="s">
        <v>91</v>
      </c>
      <c r="G77" s="8" t="s">
        <v>184</v>
      </c>
      <c r="H77" s="7" t="s">
        <v>322</v>
      </c>
    </row>
    <row r="78" spans="1:8" x14ac:dyDescent="0.35">
      <c r="A78" s="7">
        <v>74</v>
      </c>
      <c r="B78" s="7" t="s">
        <v>308</v>
      </c>
      <c r="C78" s="7" t="s">
        <v>323</v>
      </c>
      <c r="D78" s="7" t="s">
        <v>197</v>
      </c>
      <c r="E78" s="7">
        <v>1</v>
      </c>
      <c r="F78" s="7" t="s">
        <v>79</v>
      </c>
      <c r="G78" s="8" t="s">
        <v>184</v>
      </c>
      <c r="H78" s="7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38" customWidth="1"/>
    <col min="3" max="3" width="12" customWidth="1"/>
    <col min="4" max="4" width="26" customWidth="1"/>
    <col min="5" max="5" width="16" customWidth="1"/>
    <col min="6" max="6" width="12" customWidth="1"/>
    <col min="7" max="7" width="14" customWidth="1"/>
    <col min="8" max="8" width="70" customWidth="1"/>
  </cols>
  <sheetData>
    <row r="1" spans="1:8" ht="18" x14ac:dyDescent="0.4">
      <c r="A1" s="1" t="s">
        <v>324</v>
      </c>
    </row>
    <row r="2" spans="1:8" x14ac:dyDescent="0.35">
      <c r="A2" s="5" t="s">
        <v>325</v>
      </c>
    </row>
    <row r="4" spans="1:8" ht="28" x14ac:dyDescent="0.35">
      <c r="A4" s="6" t="s">
        <v>19</v>
      </c>
      <c r="B4" s="6" t="s">
        <v>326</v>
      </c>
      <c r="C4" s="6" t="s">
        <v>327</v>
      </c>
      <c r="D4" s="6" t="s">
        <v>328</v>
      </c>
      <c r="E4" s="6" t="s">
        <v>329</v>
      </c>
      <c r="F4" s="6" t="s">
        <v>27</v>
      </c>
      <c r="G4" s="6" t="s">
        <v>24</v>
      </c>
      <c r="H4" s="6" t="s">
        <v>330</v>
      </c>
    </row>
    <row r="5" spans="1:8" x14ac:dyDescent="0.35">
      <c r="A5" s="7" t="s">
        <v>29</v>
      </c>
      <c r="B5" s="7" t="s">
        <v>30</v>
      </c>
      <c r="C5" s="7" t="s">
        <v>331</v>
      </c>
      <c r="D5" s="7" t="s">
        <v>332</v>
      </c>
      <c r="E5" s="7" t="s">
        <v>28</v>
      </c>
      <c r="F5" s="7" t="str">
        <f>INDEX('Test Cases'!$J$5:$J$29,MATCH(E5,'Test Cases'!$A$5:$A$29,0))</f>
        <v>Pass</v>
      </c>
      <c r="G5" s="7">
        <f>INDEX('Test Cases'!$G$5:$G$29,MATCH(E5,'Test Cases'!$A$5:$A$29,0))</f>
        <v>2</v>
      </c>
      <c r="H5" s="7"/>
    </row>
    <row r="6" spans="1:8" x14ac:dyDescent="0.35">
      <c r="A6" s="7" t="s">
        <v>36</v>
      </c>
      <c r="B6" s="7" t="s">
        <v>37</v>
      </c>
      <c r="C6" s="7" t="s">
        <v>331</v>
      </c>
      <c r="D6" s="7" t="s">
        <v>332</v>
      </c>
      <c r="E6" s="7" t="s">
        <v>35</v>
      </c>
      <c r="F6" s="7" t="str">
        <f>INDEX('Test Cases'!$J$5:$J$29,MATCH(E6,'Test Cases'!$A$5:$A$29,0))</f>
        <v>Pass</v>
      </c>
      <c r="G6" s="7">
        <f>INDEX('Test Cases'!$G$5:$G$29,MATCH(E6,'Test Cases'!$A$5:$A$29,0))</f>
        <v>4</v>
      </c>
      <c r="H6" s="7"/>
    </row>
    <row r="7" spans="1:8" x14ac:dyDescent="0.35">
      <c r="A7" s="7" t="s">
        <v>43</v>
      </c>
      <c r="B7" s="7" t="s">
        <v>44</v>
      </c>
      <c r="C7" s="7" t="s">
        <v>331</v>
      </c>
      <c r="D7" s="7" t="s">
        <v>332</v>
      </c>
      <c r="E7" s="7" t="s">
        <v>42</v>
      </c>
      <c r="F7" s="7" t="str">
        <f>INDEX('Test Cases'!$J$5:$J$29,MATCH(E7,'Test Cases'!$A$5:$A$29,0))</f>
        <v>Pass</v>
      </c>
      <c r="G7" s="7">
        <f>INDEX('Test Cases'!$G$5:$G$29,MATCH(E7,'Test Cases'!$A$5:$A$29,0))</f>
        <v>1</v>
      </c>
      <c r="H7" s="7"/>
    </row>
    <row r="8" spans="1:8" x14ac:dyDescent="0.35">
      <c r="A8" s="7" t="s">
        <v>50</v>
      </c>
      <c r="B8" s="7" t="s">
        <v>51</v>
      </c>
      <c r="C8" s="7" t="s">
        <v>331</v>
      </c>
      <c r="D8" s="7" t="s">
        <v>332</v>
      </c>
      <c r="E8" s="7" t="s">
        <v>49</v>
      </c>
      <c r="F8" s="7" t="str">
        <f>INDEX('Test Cases'!$J$5:$J$29,MATCH(E8,'Test Cases'!$A$5:$A$29,0))</f>
        <v>Pass</v>
      </c>
      <c r="G8" s="7">
        <f>INDEX('Test Cases'!$G$5:$G$29,MATCH(E8,'Test Cases'!$A$5:$A$29,0))</f>
        <v>6</v>
      </c>
      <c r="H8" s="7"/>
    </row>
    <row r="9" spans="1:8" ht="28" x14ac:dyDescent="0.35">
      <c r="A9" s="7" t="s">
        <v>56</v>
      </c>
      <c r="B9" s="7" t="s">
        <v>57</v>
      </c>
      <c r="C9" s="7" t="s">
        <v>333</v>
      </c>
      <c r="D9" s="7" t="s">
        <v>334</v>
      </c>
      <c r="E9" s="7" t="s">
        <v>55</v>
      </c>
      <c r="F9" s="7" t="str">
        <f>INDEX('Test Cases'!$J$5:$J$29,MATCH(E9,'Test Cases'!$A$5:$A$29,0))</f>
        <v>Pass</v>
      </c>
      <c r="G9" s="7">
        <f>INDEX('Test Cases'!$G$5:$G$29,MATCH(E9,'Test Cases'!$A$5:$A$29,0))</f>
        <v>4</v>
      </c>
      <c r="H9" s="7" t="s">
        <v>335</v>
      </c>
    </row>
    <row r="10" spans="1:8" x14ac:dyDescent="0.35">
      <c r="A10" s="7" t="s">
        <v>62</v>
      </c>
      <c r="B10" s="7" t="s">
        <v>63</v>
      </c>
      <c r="C10" s="7" t="s">
        <v>333</v>
      </c>
      <c r="D10" s="7" t="s">
        <v>334</v>
      </c>
      <c r="E10" s="7" t="s">
        <v>61</v>
      </c>
      <c r="F10" s="7" t="str">
        <f>INDEX('Test Cases'!$J$5:$J$29,MATCH(E10,'Test Cases'!$A$5:$A$29,0))</f>
        <v>Pass</v>
      </c>
      <c r="G10" s="7">
        <f>INDEX('Test Cases'!$G$5:$G$29,MATCH(E10,'Test Cases'!$A$5:$A$29,0))</f>
        <v>2</v>
      </c>
      <c r="H10" s="7"/>
    </row>
    <row r="11" spans="1:8" x14ac:dyDescent="0.35">
      <c r="A11" s="7" t="s">
        <v>68</v>
      </c>
      <c r="B11" s="7" t="s">
        <v>69</v>
      </c>
      <c r="C11" s="7" t="s">
        <v>333</v>
      </c>
      <c r="D11" s="7" t="s">
        <v>336</v>
      </c>
      <c r="E11" s="7" t="s">
        <v>67</v>
      </c>
      <c r="F11" s="7" t="str">
        <f>INDEX('Test Cases'!$J$5:$J$29,MATCH(E11,'Test Cases'!$A$5:$A$29,0))</f>
        <v>Pass</v>
      </c>
      <c r="G11" s="7">
        <f>INDEX('Test Cases'!$G$5:$G$29,MATCH(E11,'Test Cases'!$A$5:$A$29,0))</f>
        <v>3</v>
      </c>
      <c r="H11" s="7"/>
    </row>
    <row r="12" spans="1:8" x14ac:dyDescent="0.35">
      <c r="A12" s="7" t="s">
        <v>74</v>
      </c>
      <c r="B12" s="7" t="s">
        <v>75</v>
      </c>
      <c r="C12" s="7" t="s">
        <v>337</v>
      </c>
      <c r="D12" s="7" t="s">
        <v>338</v>
      </c>
      <c r="E12" s="7" t="s">
        <v>73</v>
      </c>
      <c r="F12" s="7" t="str">
        <f>INDEX('Test Cases'!$J$5:$J$29,MATCH(E12,'Test Cases'!$A$5:$A$29,0))</f>
        <v>Pass</v>
      </c>
      <c r="G12" s="7">
        <f>INDEX('Test Cases'!$G$5:$G$29,MATCH(E12,'Test Cases'!$A$5:$A$29,0))</f>
        <v>5</v>
      </c>
      <c r="H12" s="7"/>
    </row>
    <row r="13" spans="1:8" x14ac:dyDescent="0.35">
      <c r="A13" s="7" t="s">
        <v>80</v>
      </c>
      <c r="B13" s="7" t="s">
        <v>81</v>
      </c>
      <c r="C13" s="7" t="s">
        <v>337</v>
      </c>
      <c r="D13" s="7" t="s">
        <v>338</v>
      </c>
      <c r="E13" s="7" t="s">
        <v>79</v>
      </c>
      <c r="F13" s="7" t="str">
        <f>INDEX('Test Cases'!$J$5:$J$29,MATCH(E13,'Test Cases'!$A$5:$A$29,0))</f>
        <v>Pass</v>
      </c>
      <c r="G13" s="7">
        <f>INDEX('Test Cases'!$G$5:$G$29,MATCH(E13,'Test Cases'!$A$5:$A$29,0))</f>
        <v>18</v>
      </c>
      <c r="H13" s="7"/>
    </row>
    <row r="14" spans="1:8" x14ac:dyDescent="0.35">
      <c r="A14" s="7" t="s">
        <v>86</v>
      </c>
      <c r="B14" s="7" t="s">
        <v>87</v>
      </c>
      <c r="C14" s="7" t="s">
        <v>337</v>
      </c>
      <c r="D14" s="7" t="s">
        <v>338</v>
      </c>
      <c r="E14" s="7" t="s">
        <v>85</v>
      </c>
      <c r="F14" s="7" t="str">
        <f>INDEX('Test Cases'!$J$5:$J$29,MATCH(E14,'Test Cases'!$A$5:$A$29,0))</f>
        <v>Pass</v>
      </c>
      <c r="G14" s="7">
        <f>INDEX('Test Cases'!$G$5:$G$29,MATCH(E14,'Test Cases'!$A$5:$A$29,0))</f>
        <v>3</v>
      </c>
      <c r="H14" s="7"/>
    </row>
    <row r="15" spans="1:8" x14ac:dyDescent="0.35">
      <c r="A15" s="7" t="s">
        <v>92</v>
      </c>
      <c r="B15" s="7" t="s">
        <v>93</v>
      </c>
      <c r="C15" s="7" t="s">
        <v>337</v>
      </c>
      <c r="D15" s="7" t="s">
        <v>338</v>
      </c>
      <c r="E15" s="7" t="s">
        <v>91</v>
      </c>
      <c r="F15" s="7" t="str">
        <f>INDEX('Test Cases'!$J$5:$J$29,MATCH(E15,'Test Cases'!$A$5:$A$29,0))</f>
        <v>Pass</v>
      </c>
      <c r="G15" s="7">
        <f>INDEX('Test Cases'!$G$5:$G$29,MATCH(E15,'Test Cases'!$A$5:$A$29,0))</f>
        <v>16</v>
      </c>
      <c r="H15" s="7"/>
    </row>
    <row r="16" spans="1:8" x14ac:dyDescent="0.35">
      <c r="A16" s="7" t="s">
        <v>98</v>
      </c>
      <c r="B16" s="7" t="s">
        <v>99</v>
      </c>
      <c r="C16" s="7" t="s">
        <v>339</v>
      </c>
      <c r="D16" s="7" t="s">
        <v>338</v>
      </c>
      <c r="E16" s="7" t="s">
        <v>97</v>
      </c>
      <c r="F16" s="7" t="str">
        <f>INDEX('Test Cases'!$J$5:$J$29,MATCH(E16,'Test Cases'!$A$5:$A$29,0))</f>
        <v>Pass</v>
      </c>
      <c r="G16" s="7">
        <f>INDEX('Test Cases'!$G$5:$G$29,MATCH(E16,'Test Cases'!$A$5:$A$29,0))</f>
        <v>4</v>
      </c>
      <c r="H16" s="7"/>
    </row>
    <row r="17" spans="1:8" x14ac:dyDescent="0.35">
      <c r="A17" s="7" t="s">
        <v>340</v>
      </c>
      <c r="B17" s="7" t="s">
        <v>341</v>
      </c>
      <c r="C17" s="7" t="s">
        <v>339</v>
      </c>
      <c r="D17" s="7" t="s">
        <v>342</v>
      </c>
      <c r="E17" s="7" t="s">
        <v>103</v>
      </c>
      <c r="F17" s="7" t="str">
        <f>INDEX('Test Cases'!$J$5:$J$29,MATCH(E17,'Test Cases'!$A$5:$A$29,0))</f>
        <v>Pass</v>
      </c>
      <c r="G17" s="7">
        <f>INDEX('Test Cases'!$G$5:$G$29,MATCH(E17,'Test Cases'!$A$5:$A$29,0))</f>
        <v>2</v>
      </c>
      <c r="H17" s="7"/>
    </row>
    <row r="18" spans="1:8" x14ac:dyDescent="0.35">
      <c r="A18" s="7" t="s">
        <v>110</v>
      </c>
      <c r="B18" s="7" t="s">
        <v>111</v>
      </c>
      <c r="C18" s="7" t="s">
        <v>343</v>
      </c>
      <c r="D18" s="7" t="s">
        <v>338</v>
      </c>
      <c r="E18" s="7" t="s">
        <v>109</v>
      </c>
      <c r="F18" s="7" t="str">
        <f>INDEX('Test Cases'!$J$5:$J$29,MATCH(E18,'Test Cases'!$A$5:$A$29,0))</f>
        <v>Pass</v>
      </c>
      <c r="G18" s="7">
        <f>INDEX('Test Cases'!$G$5:$G$29,MATCH(E18,'Test Cases'!$A$5:$A$29,0))</f>
        <v>4</v>
      </c>
      <c r="H18" s="7"/>
    </row>
    <row r="19" spans="1:8" x14ac:dyDescent="0.35">
      <c r="A19" s="7" t="s">
        <v>116</v>
      </c>
      <c r="B19" s="7" t="s">
        <v>117</v>
      </c>
      <c r="C19" s="7" t="s">
        <v>344</v>
      </c>
      <c r="D19" s="7" t="s">
        <v>345</v>
      </c>
      <c r="E19" s="7" t="s">
        <v>115</v>
      </c>
      <c r="F19" s="7" t="str">
        <f>INDEX('Test Cases'!$J$5:$J$29,MATCH(E19,'Test Cases'!$A$5:$A$29,0))</f>
        <v>Pass</v>
      </c>
      <c r="G19" s="7">
        <f>INDEX('Test Cases'!$G$5:$G$29,MATCH(E19,'Test Cases'!$A$5:$A$29,0))</f>
        <v>4</v>
      </c>
      <c r="H19" s="7" t="s">
        <v>346</v>
      </c>
    </row>
    <row r="20" spans="1:8" x14ac:dyDescent="0.35">
      <c r="A20" s="7" t="s">
        <v>122</v>
      </c>
      <c r="B20" s="7" t="s">
        <v>123</v>
      </c>
      <c r="C20" s="7" t="s">
        <v>344</v>
      </c>
      <c r="D20" s="7" t="s">
        <v>345</v>
      </c>
      <c r="E20" s="7" t="s">
        <v>121</v>
      </c>
      <c r="F20" s="7" t="str">
        <f>INDEX('Test Cases'!$J$5:$J$29,MATCH(E20,'Test Cases'!$A$5:$A$29,0))</f>
        <v>Pass</v>
      </c>
      <c r="G20" s="7">
        <f>INDEX('Test Cases'!$G$5:$G$29,MATCH(E20,'Test Cases'!$A$5:$A$29,0))</f>
        <v>2</v>
      </c>
      <c r="H20" s="7" t="s">
        <v>347</v>
      </c>
    </row>
    <row r="21" spans="1:8" x14ac:dyDescent="0.35">
      <c r="A21" s="7" t="s">
        <v>128</v>
      </c>
      <c r="B21" s="7" t="s">
        <v>129</v>
      </c>
      <c r="C21" s="7" t="s">
        <v>344</v>
      </c>
      <c r="D21" s="7" t="s">
        <v>345</v>
      </c>
      <c r="E21" s="7" t="s">
        <v>127</v>
      </c>
      <c r="F21" s="7" t="str">
        <f>INDEX('Test Cases'!$J$5:$J$29,MATCH(E21,'Test Cases'!$A$5:$A$29,0))</f>
        <v>Pass</v>
      </c>
      <c r="G21" s="7">
        <f>INDEX('Test Cases'!$G$5:$G$29,MATCH(E21,'Test Cases'!$A$5:$A$29,0))</f>
        <v>5</v>
      </c>
      <c r="H21" s="7"/>
    </row>
    <row r="22" spans="1:8" x14ac:dyDescent="0.35">
      <c r="A22" s="7" t="s">
        <v>134</v>
      </c>
      <c r="B22" s="7" t="s">
        <v>348</v>
      </c>
      <c r="C22" s="7" t="s">
        <v>349</v>
      </c>
      <c r="D22" s="7" t="s">
        <v>350</v>
      </c>
      <c r="E22" s="7" t="s">
        <v>133</v>
      </c>
      <c r="F22" s="7" t="str">
        <f>INDEX('Test Cases'!$J$5:$J$29,MATCH(E22,'Test Cases'!$A$5:$A$29,0))</f>
        <v>Pass</v>
      </c>
      <c r="G22" s="7">
        <f>INDEX('Test Cases'!$G$5:$G$29,MATCH(E22,'Test Cases'!$A$5:$A$29,0))</f>
        <v>1</v>
      </c>
      <c r="H22" s="7" t="s">
        <v>351</v>
      </c>
    </row>
    <row r="23" spans="1:8" x14ac:dyDescent="0.35">
      <c r="A23" s="7" t="s">
        <v>140</v>
      </c>
      <c r="B23" s="7" t="s">
        <v>141</v>
      </c>
      <c r="C23" s="7" t="s">
        <v>349</v>
      </c>
      <c r="D23" s="7" t="s">
        <v>352</v>
      </c>
      <c r="E23" s="7" t="s">
        <v>139</v>
      </c>
      <c r="F23" s="7" t="str">
        <f>INDEX('Test Cases'!$J$5:$J$29,MATCH(E23,'Test Cases'!$A$5:$A$29,0))</f>
        <v>Not Run</v>
      </c>
      <c r="G23" s="7">
        <f>INDEX('Test Cases'!$G$5:$G$29,MATCH(E23,'Test Cases'!$A$5:$A$29,0))</f>
        <v>0</v>
      </c>
      <c r="H23" s="7" t="s">
        <v>353</v>
      </c>
    </row>
    <row r="24" spans="1:8" x14ac:dyDescent="0.35">
      <c r="A24" s="7" t="s">
        <v>148</v>
      </c>
      <c r="B24" s="7" t="s">
        <v>354</v>
      </c>
      <c r="C24" s="7" t="s">
        <v>349</v>
      </c>
      <c r="D24" s="7" t="s">
        <v>355</v>
      </c>
      <c r="E24" s="7" t="s">
        <v>147</v>
      </c>
      <c r="F24" s="7" t="str">
        <f>INDEX('Test Cases'!$J$5:$J$29,MATCH(E24,'Test Cases'!$A$5:$A$29,0))</f>
        <v>Pass</v>
      </c>
      <c r="G24" s="7">
        <f>INDEX('Test Cases'!$G$5:$G$29,MATCH(E24,'Test Cases'!$A$5:$A$29,0))</f>
        <v>6</v>
      </c>
      <c r="H24" s="7" t="s">
        <v>356</v>
      </c>
    </row>
    <row r="25" spans="1:8" x14ac:dyDescent="0.35">
      <c r="A25" s="7" t="s">
        <v>357</v>
      </c>
      <c r="B25" s="7" t="s">
        <v>358</v>
      </c>
      <c r="C25" s="7" t="s">
        <v>349</v>
      </c>
      <c r="D25" s="7" t="s">
        <v>332</v>
      </c>
      <c r="E25" s="7" t="s">
        <v>153</v>
      </c>
      <c r="F25" s="7" t="str">
        <f>INDEX('Test Cases'!$J$5:$J$29,MATCH(E25,'Test Cases'!$A$5:$A$29,0))</f>
        <v>Pass</v>
      </c>
      <c r="G25" s="7">
        <f>INDEX('Test Cases'!$G$5:$G$29,MATCH(E25,'Test Cases'!$A$5:$A$29,0))</f>
        <v>5</v>
      </c>
      <c r="H25" s="7"/>
    </row>
    <row r="26" spans="1:8" x14ac:dyDescent="0.35">
      <c r="A26" s="7" t="s">
        <v>178</v>
      </c>
      <c r="B26" s="7" t="s">
        <v>179</v>
      </c>
      <c r="C26" s="7" t="s">
        <v>349</v>
      </c>
      <c r="D26" s="7" t="s">
        <v>359</v>
      </c>
      <c r="E26" s="7" t="s">
        <v>177</v>
      </c>
      <c r="F26" s="7" t="str">
        <f>INDEX('Test Cases'!$J$5:$J$29,MATCH(E26,'Test Cases'!$A$5:$A$29,0))</f>
        <v>Pass</v>
      </c>
      <c r="G26" s="7">
        <f>INDEX('Test Cases'!$G$5:$G$29,MATCH(E26,'Test Cases'!$A$5:$A$29,0))</f>
        <v>0</v>
      </c>
      <c r="H26" s="7" t="s">
        <v>180</v>
      </c>
    </row>
    <row r="27" spans="1:8" x14ac:dyDescent="0.35">
      <c r="A27" s="7" t="s">
        <v>160</v>
      </c>
      <c r="B27" s="7" t="s">
        <v>161</v>
      </c>
      <c r="C27" s="7" t="s">
        <v>360</v>
      </c>
      <c r="D27" s="7" t="s">
        <v>332</v>
      </c>
      <c r="E27" s="7" t="s">
        <v>159</v>
      </c>
      <c r="F27" s="7" t="str">
        <f>INDEX('Test Cases'!$J$5:$J$29,MATCH(E27,'Test Cases'!$A$5:$A$29,0))</f>
        <v>Pass</v>
      </c>
      <c r="G27" s="7">
        <f>INDEX('Test Cases'!$G$5:$G$29,MATCH(E27,'Test Cases'!$A$5:$A$29,0))</f>
        <v>2</v>
      </c>
      <c r="H27" s="7"/>
    </row>
    <row r="28" spans="1:8" ht="28" x14ac:dyDescent="0.35">
      <c r="A28" s="7" t="s">
        <v>166</v>
      </c>
      <c r="B28" s="7" t="s">
        <v>167</v>
      </c>
      <c r="C28" s="7" t="s">
        <v>360</v>
      </c>
      <c r="D28" s="7" t="s">
        <v>361</v>
      </c>
      <c r="E28" s="7" t="s">
        <v>165</v>
      </c>
      <c r="F28" s="7" t="str">
        <f>INDEX('Test Cases'!$J$5:$J$29,MATCH(E28,'Test Cases'!$A$5:$A$29,0))</f>
        <v>Pass</v>
      </c>
      <c r="G28" s="7">
        <f>INDEX('Test Cases'!$G$5:$G$29,MATCH(E28,'Test Cases'!$A$5:$A$29,0))</f>
        <v>3</v>
      </c>
      <c r="H28" s="7" t="s">
        <v>362</v>
      </c>
    </row>
    <row r="29" spans="1:8" x14ac:dyDescent="0.35">
      <c r="A29" s="7" t="s">
        <v>363</v>
      </c>
      <c r="B29" s="7" t="s">
        <v>364</v>
      </c>
      <c r="C29" s="7" t="s">
        <v>360</v>
      </c>
      <c r="D29" s="7" t="s">
        <v>332</v>
      </c>
      <c r="E29" s="7" t="s">
        <v>153</v>
      </c>
      <c r="F29" s="7" t="str">
        <f>INDEX('Test Cases'!$J$5:$J$29,MATCH(E29,'Test Cases'!$A$5:$A$29,0))</f>
        <v>Pass</v>
      </c>
      <c r="G29" s="7">
        <f>INDEX('Test Cases'!$G$5:$G$29,MATCH(E29,'Test Cases'!$A$5:$A$29,0))</f>
        <v>5</v>
      </c>
      <c r="H29" s="7"/>
    </row>
    <row r="30" spans="1:8" x14ac:dyDescent="0.35">
      <c r="A30" s="7" t="s">
        <v>172</v>
      </c>
      <c r="B30" s="7" t="s">
        <v>173</v>
      </c>
      <c r="C30" s="7" t="s">
        <v>360</v>
      </c>
      <c r="D30" s="7" t="s">
        <v>365</v>
      </c>
      <c r="E30" s="7" t="s">
        <v>171</v>
      </c>
      <c r="F30" s="7" t="str">
        <f>INDEX('Test Cases'!$J$5:$J$29,MATCH(E30,'Test Cases'!$A$5:$A$29,0))</f>
        <v>Pass</v>
      </c>
      <c r="G30" s="7">
        <f>INDEX('Test Cases'!$G$5:$G$29,MATCH(E30,'Test Cases'!$A$5:$A$29,0))</f>
        <v>16</v>
      </c>
      <c r="H30" s="7" t="s">
        <v>366</v>
      </c>
    </row>
    <row r="31" spans="1:8" x14ac:dyDescent="0.35">
      <c r="A31" s="7" t="s">
        <v>367</v>
      </c>
      <c r="B31" s="7" t="s">
        <v>368</v>
      </c>
      <c r="C31" s="7" t="s">
        <v>360</v>
      </c>
      <c r="D31" s="7" t="s">
        <v>342</v>
      </c>
      <c r="E31" s="7" t="s">
        <v>103</v>
      </c>
      <c r="F31" s="7" t="str">
        <f>INDEX('Test Cases'!$J$5:$J$29,MATCH(E31,'Test Cases'!$A$5:$A$29,0))</f>
        <v>Pass</v>
      </c>
      <c r="G31" s="7">
        <f>INDEX('Test Cases'!$G$5:$G$29,MATCH(E31,'Test Cases'!$A$5:$A$29,0))</f>
        <v>2</v>
      </c>
      <c r="H31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Automated Tests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shreya rd</cp:lastModifiedBy>
  <cp:revision>0</cp:revision>
  <dcterms:created xsi:type="dcterms:W3CDTF">2026-10-29T19:06:56Z</dcterms:created>
  <dcterms:modified xsi:type="dcterms:W3CDTF">2026-10-30T06:53:30Z</dcterms:modified>
  <dc:language>en-US</dc:language>
</cp:coreProperties>
</file>