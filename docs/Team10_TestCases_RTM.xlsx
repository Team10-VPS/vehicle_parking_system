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" sheetId="2" state="visible" r:id="rId4"/>
    <sheet name="RTM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<sst xmlns="http://schemas.openxmlformats.org/spreadsheetml/2006/main" count="327" uniqueCount="188">
  <si>
    <t xml:space="preserve">Team 10 - Vehicle Parking System: Test Cases (Sprint 1)</t>
  </si>
  <si>
    <t xml:space="preserve">Status for automated cases is taken from the pytest run. Edit Actual Result / Status for manual cases.</t>
  </si>
  <si>
    <t xml:space="preserve">Test Case ID</t>
  </si>
  <si>
    <t xml:space="preserve">Requirement ID</t>
  </si>
  <si>
    <t xml:space="preserve">Title</t>
  </si>
  <si>
    <t xml:space="preserve">Steps</t>
  </si>
  <si>
    <t xml:space="preserve">Expected Result</t>
  </si>
  <si>
    <t xml:space="preserve">Type</t>
  </si>
  <si>
    <t xml:space="preserve">Automated Tests</t>
  </si>
  <si>
    <t xml:space="preserve">Actual Result</t>
  </si>
  <si>
    <t xml:space="preserve">Status</t>
  </si>
  <si>
    <t xml:space="preserve">TC-Reg-01</t>
  </si>
  <si>
    <t xml:space="preserve">VPS-F-001</t>
  </si>
  <si>
    <t xml:space="preserve">User registration</t>
  </si>
  <si>
    <t xml:space="preserve">Open /register; enter valid name, email, password; submit</t>
  </si>
  <si>
    <t xml:space="preserve">User saved, success message, redirect to login; invalid input rejected</t>
  </si>
  <si>
    <t xml:space="preserve">Automated</t>
  </si>
  <si>
    <t xml:space="preserve">test_register_success, test_register_invalid_inputs</t>
  </si>
  <si>
    <t xml:space="preserve">2 automated test(s) executed: all passed</t>
  </si>
  <si>
    <t xml:space="preserve">Pass</t>
  </si>
  <si>
    <t xml:space="preserve">TC-Reg-02</t>
  </si>
  <si>
    <t xml:space="preserve">VPS-F-002</t>
  </si>
  <si>
    <t xml:space="preserve">Duplicate email validation</t>
  </si>
  <si>
    <t xml:space="preserve">Register twice with same email (also different case)</t>
  </si>
  <si>
    <t xml:space="preserve">Second registration rejected with 'Email already registered'</t>
  </si>
  <si>
    <t xml:space="preserve">test_duplicate_email_rejected_by_db, test_register_duplicate_email, test_register_duplicate_email_case_insensitive</t>
  </si>
  <si>
    <t xml:space="preserve">3 automated test(s) executed: all passed</t>
  </si>
  <si>
    <t xml:space="preserve">TC-Auth-01</t>
  </si>
  <si>
    <t xml:space="preserve">VPS-F-003</t>
  </si>
  <si>
    <t xml:space="preserve">Password hashing</t>
  </si>
  <si>
    <t xml:space="preserve">Register a user; inspect stored password</t>
  </si>
  <si>
    <t xml:space="preserve">Stored value is a salted hash, not plain text</t>
  </si>
  <si>
    <t xml:space="preserve">test_password_is_hashed_not_plain</t>
  </si>
  <si>
    <t xml:space="preserve">1 automated test(s) executed: all passed</t>
  </si>
  <si>
    <t xml:space="preserve">TC-Auth-02</t>
  </si>
  <si>
    <t xml:space="preserve">VPS-F-004</t>
  </si>
  <si>
    <t xml:space="preserve">User authentication</t>
  </si>
  <si>
    <t xml:space="preserve">Log in with correct, wrong and unknown credentials</t>
  </si>
  <si>
    <t xml:space="preserve">Correct -&gt; dashboard; wrong/unknown -&gt; 'Invalid email or password'</t>
  </si>
  <si>
    <t xml:space="preserve">test_check_password_correct_and_wrong, test_login_success_reaches_dashboard, test_login_wrong_password</t>
  </si>
  <si>
    <t xml:space="preserve">TC-Slot-01</t>
  </si>
  <si>
    <t xml:space="preserve">VPS-F-005</t>
  </si>
  <si>
    <t xml:space="preserve">Display parking slots</t>
  </si>
  <si>
    <t xml:space="preserve">Log in and open dashboard</t>
  </si>
  <si>
    <t xml:space="preserve">All slots displayed; message if none exist</t>
  </si>
  <si>
    <t xml:space="preserve">test_dashboard_lists_slots, test_dashboard_empty, test_default_role_is_customer</t>
  </si>
  <si>
    <t xml:space="preserve">TC-Slot-02</t>
  </si>
  <si>
    <t xml:space="preserve">VPS-F-006</t>
  </si>
  <si>
    <t xml:space="preserve">Floor-wise slot display</t>
  </si>
  <si>
    <t xml:space="preserve">Create slots on floors 1 and 2; open dashboard</t>
  </si>
  <si>
    <t xml:space="preserve">Slots grouped under floor headings in order</t>
  </si>
  <si>
    <t xml:space="preserve">test_dashboard_groups_by_floor</t>
  </si>
  <si>
    <t xml:space="preserve">TC-Slot-03</t>
  </si>
  <si>
    <t xml:space="preserve">VPS-F-007</t>
  </si>
  <si>
    <t xml:space="preserve">Prevent booking occupied slot</t>
  </si>
  <si>
    <t xml:space="preserve">POST a booking for an occupied slot</t>
  </si>
  <si>
    <t xml:space="preserve">Booking rejected, no booking created</t>
  </si>
  <si>
    <t xml:space="preserve">test_cannot_book_occupied_slot</t>
  </si>
  <si>
    <t xml:space="preserve">TC-Book-01</t>
  </si>
  <si>
    <t xml:space="preserve">VPS-F-008</t>
  </si>
  <si>
    <t xml:space="preserve">Book available slot</t>
  </si>
  <si>
    <t xml:space="preserve">Click available slot; enter vehicle; submit</t>
  </si>
  <si>
    <t xml:space="preserve">Booking created, slot becomes occupied</t>
  </si>
  <si>
    <t xml:space="preserve">test_book_available_slot</t>
  </si>
  <si>
    <t xml:space="preserve">TC-Book-02</t>
  </si>
  <si>
    <t xml:space="preserve">VPS-F-009</t>
  </si>
  <si>
    <t xml:space="preserve">Register new vehicle</t>
  </si>
  <si>
    <t xml:space="preserve">Book with a new vehicle number (valid and invalid)</t>
  </si>
  <si>
    <t xml:space="preserve">Valid: vehicle saved; invalid: rejected, nothing saved</t>
  </si>
  <si>
    <t xml:space="preserve">test_book_available_slot, test_booking_invalid_plate_rejected, test_valid_plate</t>
  </si>
  <si>
    <t xml:space="preserve">TC-Book-03</t>
  </si>
  <si>
    <t xml:space="preserve">VPS-F-010</t>
  </si>
  <si>
    <t xml:space="preserve">Use existing vehicle record</t>
  </si>
  <si>
    <t xml:space="preserve">Book twice with the same vehicle number</t>
  </si>
  <si>
    <t xml:space="preserve">Only one vehicle record exists, two bookings</t>
  </si>
  <si>
    <t xml:space="preserve">test_book_nonexistent_slot</t>
  </si>
  <si>
    <t xml:space="preserve">TC-Book-04</t>
  </si>
  <si>
    <t xml:space="preserve">VPS-F-011</t>
  </si>
  <si>
    <t xml:space="preserve">Record check-in time</t>
  </si>
  <si>
    <t xml:space="preserve">Book a slot; inspect booking</t>
  </si>
  <si>
    <t xml:space="preserve">check_in set, check_out empty, status active</t>
  </si>
  <si>
    <t xml:space="preserve">TC-Checkout-01</t>
  </si>
  <si>
    <t xml:space="preserve">VPS-F-012</t>
  </si>
  <si>
    <t xml:space="preserve">Customer check-out</t>
  </si>
  <si>
    <t xml:space="preserve">Check out an active booking (and try twice)</t>
  </si>
  <si>
    <t xml:space="preserve">Status completed, check-out time set, slot available; second attempt blocked</t>
  </si>
  <si>
    <t xml:space="preserve">test_customer_checkout, test_double_checkout_blocked</t>
  </si>
  <si>
    <t xml:space="preserve">TC-Checkout-02</t>
  </si>
  <si>
    <t xml:space="preserve">VPS-F-013 / VPS-SR-005</t>
  </si>
  <si>
    <t xml:space="preserve">Check-out authorization</t>
  </si>
  <si>
    <t xml:space="preserve">Another customer tries to check out the booking</t>
  </si>
  <si>
    <t xml:space="preserve">403 Forbidden; booking stays active</t>
  </si>
  <si>
    <t xml:space="preserve">test_other_customer_cannot_checkout</t>
  </si>
  <si>
    <t xml:space="preserve">TC-Hist-01</t>
  </si>
  <si>
    <t xml:space="preserve">VPS-F-014</t>
  </si>
  <si>
    <t xml:space="preserve">View booking history</t>
  </si>
  <si>
    <t xml:space="preserve">Open /history as two different users</t>
  </si>
  <si>
    <t xml:space="preserve">Each user sees only own bookings; empty message if none</t>
  </si>
  <si>
    <t xml:space="preserve">test_checkout_unknown_booking</t>
  </si>
  <si>
    <t xml:space="preserve">TC-Admin-01</t>
  </si>
  <si>
    <t xml:space="preserve">VPS-F-015</t>
  </si>
  <si>
    <t xml:space="preserve">Admin add parking slot</t>
  </si>
  <si>
    <t xml:space="preserve">Admin adds slot; try duplicate/blank/bad floor</t>
  </si>
  <si>
    <t xml:space="preserve">Valid slot added; invalid input rejected</t>
  </si>
  <si>
    <t xml:space="preserve">test_duplicate_slot_number_rejected, test_history_empty, test_admin_add_slot_validation</t>
  </si>
  <si>
    <t xml:space="preserve">TC-Admin-02</t>
  </si>
  <si>
    <t xml:space="preserve">VPS-F-016</t>
  </si>
  <si>
    <t xml:space="preserve">Admin remove available slot</t>
  </si>
  <si>
    <t xml:space="preserve">Admin removes available and occupied slots</t>
  </si>
  <si>
    <t xml:space="preserve">Available removed; occupied refused</t>
  </si>
  <si>
    <t xml:space="preserve">test_admin_remove_available_slot, test_admin_cannot_remove_occupied_slot</t>
  </si>
  <si>
    <t xml:space="preserve">TC-Admin-03</t>
  </si>
  <si>
    <t xml:space="preserve">VPS-F-017</t>
  </si>
  <si>
    <t xml:space="preserve">Admin view / force checkout</t>
  </si>
  <si>
    <t xml:space="preserve">Admin opens active bookings and force checks out</t>
  </si>
  <si>
    <t xml:space="preserve">Booking completed, slot freed</t>
  </si>
  <si>
    <t xml:space="preserve">test_admin_view_and_force_checkout</t>
  </si>
  <si>
    <t xml:space="preserve">TC-Perf-01</t>
  </si>
  <si>
    <t xml:space="preserve">VPS-NF-001</t>
  </si>
  <si>
    <t xml:space="preserve">Dashboard response time</t>
  </si>
  <si>
    <t xml:space="preserve">Load dashboard with 200 slots</t>
  </si>
  <si>
    <t xml:space="preserve">Responds in &lt;= 2 seconds</t>
  </si>
  <si>
    <t xml:space="preserve">test_booking_requires_login</t>
  </si>
  <si>
    <t xml:space="preserve">TC-UX-01</t>
  </si>
  <si>
    <t xml:space="preserve">VPS-NF-002</t>
  </si>
  <si>
    <t xml:space="preserve">Core actions within 3 clicks</t>
  </si>
  <si>
    <t xml:space="preserve">Count clicks: book, check out, history, admin add</t>
  </si>
  <si>
    <t xml:space="preserve">Each reachable in &lt;= 3 clicks (manual)</t>
  </si>
  <si>
    <t xml:space="preserve">Manual</t>
  </si>
  <si>
    <t xml:space="preserve">Not Run</t>
  </si>
  <si>
    <t xml:space="preserve">TC-Rel-01</t>
  </si>
  <si>
    <t xml:space="preserve">VPS-NF-003</t>
  </si>
  <si>
    <t xml:space="preserve">Slot status consistent with bookings</t>
  </si>
  <si>
    <t xml:space="preserve">Book 3 slots, check out 1</t>
  </si>
  <si>
    <t xml:space="preserve">Occupied slots == active bookings</t>
  </si>
  <si>
    <t xml:space="preserve">test_book_available_slot, test_slot_status_consistent_with_bookings</t>
  </si>
  <si>
    <t xml:space="preserve">TC-Sec-01</t>
  </si>
  <si>
    <t xml:space="preserve">VPS-NF-004 / VPS-SR-003</t>
  </si>
  <si>
    <t xml:space="preserve">Session invalidated after logout</t>
  </si>
  <si>
    <t xml:space="preserve">Log out, then open protected pages</t>
  </si>
  <si>
    <t xml:space="preserve">Redirected to login</t>
  </si>
  <si>
    <t xml:space="preserve">test_login_unknown_user, test_logout_invalidates_session</t>
  </si>
  <si>
    <t xml:space="preserve">TC-Sec-02</t>
  </si>
  <si>
    <t xml:space="preserve">VPS-SR-001</t>
  </si>
  <si>
    <t xml:space="preserve">Secure password hashing</t>
  </si>
  <si>
    <t xml:space="preserve">Compare hashes of same password for two users</t>
  </si>
  <si>
    <t xml:space="preserve">Hashes differ (salted) and are not plain text</t>
  </si>
  <si>
    <t xml:space="preserve">test_password_is_hashed_not_plain, test_same_password_gives_different_hashes</t>
  </si>
  <si>
    <t xml:space="preserve">TC-Sec-03</t>
  </si>
  <si>
    <t xml:space="preserve">VPS-SR-002</t>
  </si>
  <si>
    <t xml:space="preserve">Admin route authorization</t>
  </si>
  <si>
    <t xml:space="preserve">Customer and anonymous access admin URLs</t>
  </si>
  <si>
    <t xml:space="preserve">Customer 403, anonymous redirected to login</t>
  </si>
  <si>
    <t xml:space="preserve">test_non_admin_blocked_from_admin_routes, test_anonymous_blocked_from_admin_routes</t>
  </si>
  <si>
    <t xml:space="preserve">TC-Sec-04</t>
  </si>
  <si>
    <t xml:space="preserve">VPS-SR-004</t>
  </si>
  <si>
    <t xml:space="preserve">Input validation and sanitisation</t>
  </si>
  <si>
    <t xml:space="preserve">Submit malformed email/plate and &lt;script&gt; in name</t>
  </si>
  <si>
    <t xml:space="preserve">Rejected or escaped safely</t>
  </si>
  <si>
    <t xml:space="preserve">test_booking_invalid_plate_rejected, test_valid_email, test_valid_plate, test_register_invalid_inputs, test_register_script_input_is_escaped</t>
  </si>
  <si>
    <t xml:space="preserve">5 automated test(s) executed: all passed</t>
  </si>
  <si>
    <t xml:space="preserve">CR-01</t>
  </si>
  <si>
    <t xml:space="preserve">VPS-NF-005</t>
  </si>
  <si>
    <t xml:space="preserve">Models, routes, templates separated</t>
  </si>
  <si>
    <t xml:space="preserve">Code review of project structure</t>
  </si>
  <si>
    <t xml:space="preserve">app/models.py, app/routes/, app/templates/ are separate (review)</t>
  </si>
  <si>
    <t xml:space="preserve">Structure verified: separate models/routes/templates</t>
  </si>
  <si>
    <t xml:space="preserve">Test Execution Summary</t>
  </si>
  <si>
    <t xml:space="preserve">Total test cases</t>
  </si>
  <si>
    <t xml:space="preserve">Passed</t>
  </si>
  <si>
    <t xml:space="preserve">Failed</t>
  </si>
  <si>
    <t xml:space="preserve">Not run</t>
  </si>
  <si>
    <t xml:space="preserve">% executed</t>
  </si>
  <si>
    <t xml:space="preserve">% passed</t>
  </si>
  <si>
    <t xml:space="preserve">Automated pytest tests in repo:</t>
  </si>
  <si>
    <t xml:space="preserve">Source: pytest run (report.xml)</t>
  </si>
  <si>
    <t xml:space="preserve">Description</t>
  </si>
  <si>
    <t xml:space="preserve">Status (from Test Cases sheet)</t>
  </si>
  <si>
    <t xml:space="preserve">VPS-F-013</t>
  </si>
  <si>
    <t xml:space="preserve">Admin view/force checkout</t>
  </si>
  <si>
    <t xml:space="preserve">Dashboard response &lt;= 2s for 200 slots</t>
  </si>
  <si>
    <t xml:space="preserve">VPS-NF-004</t>
  </si>
  <si>
    <t xml:space="preserve">Session expires after logout</t>
  </si>
  <si>
    <t xml:space="preserve">Models/routes/templates separated</t>
  </si>
  <si>
    <t xml:space="preserve">VPS-SR-003</t>
  </si>
  <si>
    <t xml:space="preserve">Session invalidation</t>
  </si>
  <si>
    <t xml:space="preserve">VPS-SR-005</t>
  </si>
  <si>
    <t xml:space="preserve">Checkout only for owner/admin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</si>
</sst>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5" min="4" style="0" width="40"/>
    <col collapsed="false" customWidth="true" hidden="false" outlineLevel="0" max="6" min="6" style="0" width="11"/>
    <col collapsed="false" customWidth="true" hidden="false" outlineLevel="0" max="7" min="7" style="0" width="45"/>
    <col collapsed="false" customWidth="true" hidden="false" outlineLevel="0" max="8" min="8" style="0" width="38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26.85" hidden="false" customHeight="fals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</row>
    <row r="6" customFormat="false" ht="39.55" hidden="false" customHeight="false" outlineLevel="0" collapsed="false">
      <c r="A6" s="4" t="s">
        <v>20</v>
      </c>
      <c r="B6" s="4" t="s">
        <v>21</v>
      </c>
      <c r="C6" s="4" t="s">
        <v>22</v>
      </c>
      <c r="D6" s="4" t="s">
        <v>23</v>
      </c>
      <c r="E6" s="4" t="s">
        <v>24</v>
      </c>
      <c r="F6" s="4" t="s">
        <v>16</v>
      </c>
      <c r="G6" s="4" t="s">
        <v>25</v>
      </c>
      <c r="H6" s="4" t="s">
        <v>26</v>
      </c>
      <c r="I6" s="4" t="s">
        <v>19</v>
      </c>
    </row>
    <row r="7" customFormat="false" ht="26.85" hidden="false" customHeight="false" outlineLevel="0" collapsed="false">
      <c r="A7" s="4" t="s">
        <v>27</v>
      </c>
      <c r="B7" s="4" t="s">
        <v>28</v>
      </c>
      <c r="C7" s="4" t="s">
        <v>29</v>
      </c>
      <c r="D7" s="4" t="s">
        <v>30</v>
      </c>
      <c r="E7" s="4" t="s">
        <v>31</v>
      </c>
      <c r="F7" s="4" t="s">
        <v>16</v>
      </c>
      <c r="G7" s="4" t="s">
        <v>32</v>
      </c>
      <c r="H7" s="4" t="s">
        <v>33</v>
      </c>
      <c r="I7" s="4" t="s">
        <v>19</v>
      </c>
    </row>
    <row r="8" customFormat="false" ht="39.55" hidden="false" customHeight="false" outlineLevel="0" collapsed="false">
      <c r="A8" s="4" t="s">
        <v>34</v>
      </c>
      <c r="B8" s="4" t="s">
        <v>35</v>
      </c>
      <c r="C8" s="4" t="s">
        <v>36</v>
      </c>
      <c r="D8" s="4" t="s">
        <v>37</v>
      </c>
      <c r="E8" s="4" t="s">
        <v>38</v>
      </c>
      <c r="F8" s="4" t="s">
        <v>16</v>
      </c>
      <c r="G8" s="4" t="s">
        <v>39</v>
      </c>
      <c r="H8" s="4" t="s">
        <v>26</v>
      </c>
      <c r="I8" s="4" t="s">
        <v>19</v>
      </c>
    </row>
    <row r="9" customFormat="false" ht="39.55" hidden="false" customHeight="false" outlineLevel="0" collapsed="false">
      <c r="A9" s="4" t="s">
        <v>40</v>
      </c>
      <c r="B9" s="4" t="s">
        <v>41</v>
      </c>
      <c r="C9" s="4" t="s">
        <v>42</v>
      </c>
      <c r="D9" s="4" t="s">
        <v>43</v>
      </c>
      <c r="E9" s="4" t="s">
        <v>44</v>
      </c>
      <c r="F9" s="4" t="s">
        <v>16</v>
      </c>
      <c r="G9" s="4" t="s">
        <v>45</v>
      </c>
      <c r="H9" s="4" t="s">
        <v>26</v>
      </c>
      <c r="I9" s="4" t="s">
        <v>19</v>
      </c>
    </row>
    <row r="10" customFormat="false" ht="26.85" hidden="false" customHeight="false" outlineLevel="0" collapsed="false">
      <c r="A10" s="4" t="s">
        <v>46</v>
      </c>
      <c r="B10" s="4" t="s">
        <v>47</v>
      </c>
      <c r="C10" s="4" t="s">
        <v>48</v>
      </c>
      <c r="D10" s="4" t="s">
        <v>49</v>
      </c>
      <c r="E10" s="4" t="s">
        <v>50</v>
      </c>
      <c r="F10" s="4" t="s">
        <v>16</v>
      </c>
      <c r="G10" s="4" t="s">
        <v>51</v>
      </c>
      <c r="H10" s="4" t="s">
        <v>33</v>
      </c>
      <c r="I10" s="4" t="s">
        <v>19</v>
      </c>
    </row>
    <row r="11" customFormat="false" ht="26.85" hidden="false" customHeight="false" outlineLevel="0" collapsed="false">
      <c r="A11" s="4" t="s">
        <v>52</v>
      </c>
      <c r="B11" s="4" t="s">
        <v>53</v>
      </c>
      <c r="C11" s="4" t="s">
        <v>54</v>
      </c>
      <c r="D11" s="4" t="s">
        <v>55</v>
      </c>
      <c r="E11" s="4" t="s">
        <v>56</v>
      </c>
      <c r="F11" s="4" t="s">
        <v>16</v>
      </c>
      <c r="G11" s="4" t="s">
        <v>57</v>
      </c>
      <c r="H11" s="4" t="s">
        <v>33</v>
      </c>
      <c r="I11" s="4" t="s">
        <v>19</v>
      </c>
    </row>
    <row r="12" customFormat="false" ht="26.85" hidden="false" customHeight="false" outlineLevel="0" collapsed="false">
      <c r="A12" s="4" t="s">
        <v>58</v>
      </c>
      <c r="B12" s="4" t="s">
        <v>59</v>
      </c>
      <c r="C12" s="4" t="s">
        <v>60</v>
      </c>
      <c r="D12" s="4" t="s">
        <v>61</v>
      </c>
      <c r="E12" s="4" t="s">
        <v>62</v>
      </c>
      <c r="F12" s="4" t="s">
        <v>16</v>
      </c>
      <c r="G12" s="4" t="s">
        <v>63</v>
      </c>
      <c r="H12" s="4" t="s">
        <v>33</v>
      </c>
      <c r="I12" s="4" t="s">
        <v>19</v>
      </c>
    </row>
    <row r="13" customFormat="false" ht="39.55" hidden="false" customHeight="false" outlineLevel="0" collapsed="false">
      <c r="A13" s="4" t="s">
        <v>64</v>
      </c>
      <c r="B13" s="4" t="s">
        <v>65</v>
      </c>
      <c r="C13" s="4" t="s">
        <v>66</v>
      </c>
      <c r="D13" s="4" t="s">
        <v>67</v>
      </c>
      <c r="E13" s="4" t="s">
        <v>68</v>
      </c>
      <c r="F13" s="4" t="s">
        <v>16</v>
      </c>
      <c r="G13" s="4" t="s">
        <v>69</v>
      </c>
      <c r="H13" s="4" t="s">
        <v>26</v>
      </c>
      <c r="I13" s="4" t="s">
        <v>19</v>
      </c>
    </row>
    <row r="14" customFormat="false" ht="26.85" hidden="false" customHeight="false" outlineLevel="0" collapsed="false">
      <c r="A14" s="4" t="s">
        <v>70</v>
      </c>
      <c r="B14" s="4" t="s">
        <v>71</v>
      </c>
      <c r="C14" s="4" t="s">
        <v>72</v>
      </c>
      <c r="D14" s="4" t="s">
        <v>73</v>
      </c>
      <c r="E14" s="4" t="s">
        <v>74</v>
      </c>
      <c r="F14" s="4" t="s">
        <v>16</v>
      </c>
      <c r="G14" s="4" t="s">
        <v>75</v>
      </c>
      <c r="H14" s="4" t="s">
        <v>33</v>
      </c>
      <c r="I14" s="4" t="s">
        <v>19</v>
      </c>
    </row>
    <row r="15" customFormat="false" ht="26.85" hidden="false" customHeight="false" outlineLevel="0" collapsed="false">
      <c r="A15" s="4" t="s">
        <v>76</v>
      </c>
      <c r="B15" s="4" t="s">
        <v>77</v>
      </c>
      <c r="C15" s="4" t="s">
        <v>78</v>
      </c>
      <c r="D15" s="4" t="s">
        <v>79</v>
      </c>
      <c r="E15" s="4" t="s">
        <v>80</v>
      </c>
      <c r="F15" s="4" t="s">
        <v>16</v>
      </c>
      <c r="G15" s="4" t="s">
        <v>63</v>
      </c>
      <c r="H15" s="4" t="s">
        <v>33</v>
      </c>
      <c r="I15" s="4" t="s">
        <v>19</v>
      </c>
    </row>
    <row r="16" customFormat="false" ht="26.85" hidden="false" customHeight="false" outlineLevel="0" collapsed="false">
      <c r="A16" s="4" t="s">
        <v>81</v>
      </c>
      <c r="B16" s="4" t="s">
        <v>82</v>
      </c>
      <c r="C16" s="4" t="s">
        <v>83</v>
      </c>
      <c r="D16" s="4" t="s">
        <v>84</v>
      </c>
      <c r="E16" s="4" t="s">
        <v>85</v>
      </c>
      <c r="F16" s="4" t="s">
        <v>16</v>
      </c>
      <c r="G16" s="4" t="s">
        <v>86</v>
      </c>
      <c r="H16" s="4" t="s">
        <v>18</v>
      </c>
      <c r="I16" s="4" t="s">
        <v>19</v>
      </c>
    </row>
    <row r="17" customFormat="false" ht="26.85" hidden="false" customHeight="false" outlineLevel="0" collapsed="false">
      <c r="A17" s="4" t="s">
        <v>87</v>
      </c>
      <c r="B17" s="4" t="s">
        <v>88</v>
      </c>
      <c r="C17" s="4" t="s">
        <v>89</v>
      </c>
      <c r="D17" s="4" t="s">
        <v>90</v>
      </c>
      <c r="E17" s="4" t="s">
        <v>91</v>
      </c>
      <c r="F17" s="4" t="s">
        <v>16</v>
      </c>
      <c r="G17" s="4" t="s">
        <v>92</v>
      </c>
      <c r="H17" s="4" t="s">
        <v>33</v>
      </c>
      <c r="I17" s="4" t="s">
        <v>19</v>
      </c>
    </row>
    <row r="18" customFormat="false" ht="26.85" hidden="false" customHeight="false" outlineLevel="0" collapsed="false">
      <c r="A18" s="4" t="s">
        <v>93</v>
      </c>
      <c r="B18" s="4" t="s">
        <v>94</v>
      </c>
      <c r="C18" s="4" t="s">
        <v>95</v>
      </c>
      <c r="D18" s="4" t="s">
        <v>96</v>
      </c>
      <c r="E18" s="4" t="s">
        <v>97</v>
      </c>
      <c r="F18" s="4" t="s">
        <v>16</v>
      </c>
      <c r="G18" s="4" t="s">
        <v>98</v>
      </c>
      <c r="H18" s="4" t="s">
        <v>33</v>
      </c>
      <c r="I18" s="4" t="s">
        <v>19</v>
      </c>
    </row>
    <row r="19" customFormat="false" ht="39.55" hidden="false" customHeight="false" outlineLevel="0" collapsed="false">
      <c r="A19" s="4" t="s">
        <v>99</v>
      </c>
      <c r="B19" s="4" t="s">
        <v>100</v>
      </c>
      <c r="C19" s="4" t="s">
        <v>101</v>
      </c>
      <c r="D19" s="4" t="s">
        <v>102</v>
      </c>
      <c r="E19" s="4" t="s">
        <v>103</v>
      </c>
      <c r="F19" s="4" t="s">
        <v>16</v>
      </c>
      <c r="G19" s="4" t="s">
        <v>104</v>
      </c>
      <c r="H19" s="4" t="s">
        <v>26</v>
      </c>
      <c r="I19" s="4" t="s">
        <v>19</v>
      </c>
    </row>
    <row r="20" customFormat="false" ht="26.85" hidden="false" customHeight="false" outlineLevel="0" collapsed="false">
      <c r="A20" s="4" t="s">
        <v>105</v>
      </c>
      <c r="B20" s="4" t="s">
        <v>106</v>
      </c>
      <c r="C20" s="4" t="s">
        <v>107</v>
      </c>
      <c r="D20" s="4" t="s">
        <v>108</v>
      </c>
      <c r="E20" s="4" t="s">
        <v>109</v>
      </c>
      <c r="F20" s="4" t="s">
        <v>16</v>
      </c>
      <c r="G20" s="4" t="s">
        <v>110</v>
      </c>
      <c r="H20" s="4" t="s">
        <v>18</v>
      </c>
      <c r="I20" s="4" t="s">
        <v>19</v>
      </c>
    </row>
    <row r="21" customFormat="false" ht="26.85" hidden="false" customHeight="false" outlineLevel="0" collapsed="false">
      <c r="A21" s="4" t="s">
        <v>111</v>
      </c>
      <c r="B21" s="4" t="s">
        <v>112</v>
      </c>
      <c r="C21" s="4" t="s">
        <v>113</v>
      </c>
      <c r="D21" s="4" t="s">
        <v>114</v>
      </c>
      <c r="E21" s="4" t="s">
        <v>115</v>
      </c>
      <c r="F21" s="4" t="s">
        <v>16</v>
      </c>
      <c r="G21" s="4" t="s">
        <v>116</v>
      </c>
      <c r="H21" s="4" t="s">
        <v>33</v>
      </c>
      <c r="I21" s="4" t="s">
        <v>19</v>
      </c>
    </row>
    <row r="22" customFormat="false" ht="26.85" hidden="false" customHeight="false" outlineLevel="0" collapsed="false">
      <c r="A22" s="4" t="s">
        <v>117</v>
      </c>
      <c r="B22" s="4" t="s">
        <v>118</v>
      </c>
      <c r="C22" s="4" t="s">
        <v>119</v>
      </c>
      <c r="D22" s="4" t="s">
        <v>120</v>
      </c>
      <c r="E22" s="4" t="s">
        <v>121</v>
      </c>
      <c r="F22" s="4" t="s">
        <v>16</v>
      </c>
      <c r="G22" s="4" t="s">
        <v>122</v>
      </c>
      <c r="H22" s="4" t="s">
        <v>33</v>
      </c>
      <c r="I22" s="4" t="s">
        <v>19</v>
      </c>
    </row>
    <row r="23" customFormat="false" ht="26.85" hidden="false" customHeight="false" outlineLevel="0" collapsed="false">
      <c r="A23" s="4" t="s">
        <v>123</v>
      </c>
      <c r="B23" s="4" t="s">
        <v>124</v>
      </c>
      <c r="C23" s="4" t="s">
        <v>125</v>
      </c>
      <c r="D23" s="4" t="s">
        <v>126</v>
      </c>
      <c r="E23" s="4" t="s">
        <v>127</v>
      </c>
      <c r="F23" s="4" t="s">
        <v>128</v>
      </c>
      <c r="G23" s="4"/>
      <c r="H23" s="4"/>
      <c r="I23" s="4" t="s">
        <v>129</v>
      </c>
    </row>
    <row r="24" customFormat="false" ht="26.85" hidden="false" customHeight="false" outlineLevel="0" collapsed="false">
      <c r="A24" s="4" t="s">
        <v>130</v>
      </c>
      <c r="B24" s="4" t="s">
        <v>131</v>
      </c>
      <c r="C24" s="4" t="s">
        <v>132</v>
      </c>
      <c r="D24" s="4" t="s">
        <v>133</v>
      </c>
      <c r="E24" s="4" t="s">
        <v>134</v>
      </c>
      <c r="F24" s="4" t="s">
        <v>16</v>
      </c>
      <c r="G24" s="4" t="s">
        <v>135</v>
      </c>
      <c r="H24" s="4" t="s">
        <v>18</v>
      </c>
      <c r="I24" s="4" t="s">
        <v>19</v>
      </c>
    </row>
    <row r="25" customFormat="false" ht="26.85" hidden="false" customHeight="false" outlineLevel="0" collapsed="false">
      <c r="A25" s="4" t="s">
        <v>136</v>
      </c>
      <c r="B25" s="4" t="s">
        <v>137</v>
      </c>
      <c r="C25" s="4" t="s">
        <v>138</v>
      </c>
      <c r="D25" s="4" t="s">
        <v>139</v>
      </c>
      <c r="E25" s="4" t="s">
        <v>140</v>
      </c>
      <c r="F25" s="4" t="s">
        <v>16</v>
      </c>
      <c r="G25" s="4" t="s">
        <v>141</v>
      </c>
      <c r="H25" s="4" t="s">
        <v>18</v>
      </c>
      <c r="I25" s="4" t="s">
        <v>19</v>
      </c>
    </row>
    <row r="26" customFormat="false" ht="26.85" hidden="false" customHeight="false" outlineLevel="0" collapsed="false">
      <c r="A26" s="4" t="s">
        <v>142</v>
      </c>
      <c r="B26" s="4" t="s">
        <v>143</v>
      </c>
      <c r="C26" s="4" t="s">
        <v>144</v>
      </c>
      <c r="D26" s="4" t="s">
        <v>145</v>
      </c>
      <c r="E26" s="4" t="s">
        <v>146</v>
      </c>
      <c r="F26" s="4" t="s">
        <v>16</v>
      </c>
      <c r="G26" s="4" t="s">
        <v>147</v>
      </c>
      <c r="H26" s="4" t="s">
        <v>18</v>
      </c>
      <c r="I26" s="4" t="s">
        <v>19</v>
      </c>
    </row>
    <row r="27" customFormat="false" ht="26.85" hidden="false" customHeight="false" outlineLevel="0" collapsed="false">
      <c r="A27" s="4" t="s">
        <v>148</v>
      </c>
      <c r="B27" s="4" t="s">
        <v>149</v>
      </c>
      <c r="C27" s="4" t="s">
        <v>150</v>
      </c>
      <c r="D27" s="4" t="s">
        <v>151</v>
      </c>
      <c r="E27" s="4" t="s">
        <v>152</v>
      </c>
      <c r="F27" s="4" t="s">
        <v>16</v>
      </c>
      <c r="G27" s="4" t="s">
        <v>153</v>
      </c>
      <c r="H27" s="4" t="s">
        <v>18</v>
      </c>
      <c r="I27" s="4" t="s">
        <v>19</v>
      </c>
    </row>
    <row r="28" customFormat="false" ht="52.2" hidden="false" customHeight="false" outlineLevel="0" collapsed="false">
      <c r="A28" s="4" t="s">
        <v>154</v>
      </c>
      <c r="B28" s="4" t="s">
        <v>155</v>
      </c>
      <c r="C28" s="4" t="s">
        <v>156</v>
      </c>
      <c r="D28" s="4" t="s">
        <v>157</v>
      </c>
      <c r="E28" s="4" t="s">
        <v>158</v>
      </c>
      <c r="F28" s="4" t="s">
        <v>16</v>
      </c>
      <c r="G28" s="4" t="s">
        <v>159</v>
      </c>
      <c r="H28" s="4" t="s">
        <v>160</v>
      </c>
      <c r="I28" s="4" t="s">
        <v>19</v>
      </c>
    </row>
    <row r="29" customFormat="false" ht="26.85" hidden="false" customHeight="false" outlineLevel="0" collapsed="false">
      <c r="A29" s="4" t="s">
        <v>161</v>
      </c>
      <c r="B29" s="4" t="s">
        <v>162</v>
      </c>
      <c r="C29" s="4" t="s">
        <v>163</v>
      </c>
      <c r="D29" s="4" t="s">
        <v>164</v>
      </c>
      <c r="E29" s="4" t="s">
        <v>165</v>
      </c>
      <c r="F29" s="4" t="s">
        <v>128</v>
      </c>
      <c r="G29" s="4"/>
      <c r="H29" s="4" t="s">
        <v>166</v>
      </c>
      <c r="I29" s="4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167</v>
      </c>
    </row>
    <row r="3" customFormat="false" ht="15" hidden="false" customHeight="false" outlineLevel="0" collapsed="false">
      <c r="A3" s="5" t="s">
        <v>168</v>
      </c>
      <c r="B3" s="6" t="n">
        <f aca="false">COUNTA('Test Cases'!A5:A29)</f>
        <v>25</v>
      </c>
    </row>
    <row r="4" customFormat="false" ht="15" hidden="false" customHeight="false" outlineLevel="0" collapsed="false">
      <c r="A4" s="5" t="s">
        <v>169</v>
      </c>
      <c r="B4" s="6" t="n">
        <f aca="false">COUNTIF('Test Cases'!I5:I29,"Pass")</f>
        <v>24</v>
      </c>
    </row>
    <row r="5" customFormat="false" ht="15" hidden="false" customHeight="false" outlineLevel="0" collapsed="false">
      <c r="A5" s="5" t="s">
        <v>170</v>
      </c>
      <c r="B5" s="6" t="n">
        <f aca="false">COUNTIF('Test Cases'!I5:I29,"Fail")</f>
        <v>0</v>
      </c>
    </row>
    <row r="6" customFormat="false" ht="15" hidden="false" customHeight="false" outlineLevel="0" collapsed="false">
      <c r="A6" s="5" t="s">
        <v>171</v>
      </c>
      <c r="B6" s="6" t="n">
        <f aca="false">COUNTIF('Test Cases'!I5:I29,"Not Run")</f>
        <v>1</v>
      </c>
    </row>
    <row r="7" customFormat="false" ht="15" hidden="false" customHeight="false" outlineLevel="0" collapsed="false">
      <c r="A7" s="5" t="s">
        <v>172</v>
      </c>
      <c r="B7" s="7" t="n">
        <f aca="false">IFERROR((B4+B5)/B3,0)</f>
        <v>0.96</v>
      </c>
    </row>
    <row r="8" customFormat="false" ht="15" hidden="false" customHeight="false" outlineLevel="0" collapsed="false">
      <c r="A8" s="5" t="s">
        <v>173</v>
      </c>
      <c r="B8" s="7" t="n">
        <f aca="false">IFERROR(B4/B3,0)</f>
        <v>0.96</v>
      </c>
    </row>
    <row r="10" customFormat="false" ht="15" hidden="false" customHeight="false" outlineLevel="0" collapsed="false">
      <c r="A10" s="5" t="s">
        <v>174</v>
      </c>
      <c r="B10" s="8" t="n">
        <v>53</v>
      </c>
      <c r="C10" s="2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4" min="4" style="0" width="30"/>
  </cols>
  <sheetData>
    <row r="1" customFormat="false" ht="26.85" hidden="false" customHeight="false" outlineLevel="0" collapsed="false">
      <c r="A1" s="3" t="s">
        <v>3</v>
      </c>
      <c r="B1" s="3" t="s">
        <v>176</v>
      </c>
      <c r="C1" s="3" t="s">
        <v>2</v>
      </c>
      <c r="D1" s="3" t="s">
        <v>177</v>
      </c>
    </row>
    <row r="2" customFormat="false" ht="15" hidden="false" customHeight="false" outlineLevel="0" collapsed="false">
      <c r="A2" s="9" t="s">
        <v>12</v>
      </c>
      <c r="B2" s="9" t="s">
        <v>13</v>
      </c>
      <c r="C2" s="9" t="s">
        <v>11</v>
      </c>
      <c r="D2" s="9" t="str">
        <f aca="false">INDEX('Test Cases'!$I$5:$I$29,MATCH(C2,'Test Cases'!$A$5:$A$29,0))</f>
        <v>Pass</v>
      </c>
    </row>
    <row r="3" customFormat="false" ht="15" hidden="false" customHeight="false" outlineLevel="0" collapsed="false">
      <c r="A3" s="9" t="s">
        <v>21</v>
      </c>
      <c r="B3" s="9" t="s">
        <v>22</v>
      </c>
      <c r="C3" s="9" t="s">
        <v>20</v>
      </c>
      <c r="D3" s="9" t="str">
        <f aca="false">INDEX('Test Cases'!$I$5:$I$29,MATCH(C3,'Test Cases'!$A$5:$A$29,0))</f>
        <v>Pass</v>
      </c>
    </row>
    <row r="4" customFormat="false" ht="15" hidden="false" customHeight="false" outlineLevel="0" collapsed="false">
      <c r="A4" s="9" t="s">
        <v>28</v>
      </c>
      <c r="B4" s="9" t="s">
        <v>29</v>
      </c>
      <c r="C4" s="9" t="s">
        <v>27</v>
      </c>
      <c r="D4" s="9" t="str">
        <f aca="false">INDEX('Test Cases'!$I$5:$I$29,MATCH(C4,'Test Cases'!$A$5:$A$29,0))</f>
        <v>Pass</v>
      </c>
    </row>
    <row r="5" customFormat="false" ht="15" hidden="false" customHeight="false" outlineLevel="0" collapsed="false">
      <c r="A5" s="9" t="s">
        <v>35</v>
      </c>
      <c r="B5" s="9" t="s">
        <v>36</v>
      </c>
      <c r="C5" s="9" t="s">
        <v>34</v>
      </c>
      <c r="D5" s="9" t="str">
        <f aca="false">INDEX('Test Cases'!$I$5:$I$29,MATCH(C5,'Test Cases'!$A$5:$A$29,0))</f>
        <v>Pass</v>
      </c>
    </row>
    <row r="6" customFormat="false" ht="15" hidden="false" customHeight="false" outlineLevel="0" collapsed="false">
      <c r="A6" s="9" t="s">
        <v>41</v>
      </c>
      <c r="B6" s="9" t="s">
        <v>42</v>
      </c>
      <c r="C6" s="9" t="s">
        <v>40</v>
      </c>
      <c r="D6" s="9" t="str">
        <f aca="false">INDEX('Test Cases'!$I$5:$I$29,MATCH(C6,'Test Cases'!$A$5:$A$29,0))</f>
        <v>Pass</v>
      </c>
    </row>
    <row r="7" customFormat="false" ht="15" hidden="false" customHeight="false" outlineLevel="0" collapsed="false">
      <c r="A7" s="9" t="s">
        <v>47</v>
      </c>
      <c r="B7" s="9" t="s">
        <v>48</v>
      </c>
      <c r="C7" s="9" t="s">
        <v>46</v>
      </c>
      <c r="D7" s="9" t="str">
        <f aca="false">INDEX('Test Cases'!$I$5:$I$29,MATCH(C7,'Test Cases'!$A$5:$A$29,0))</f>
        <v>Pass</v>
      </c>
    </row>
    <row r="8" customFormat="false" ht="15" hidden="false" customHeight="false" outlineLevel="0" collapsed="false">
      <c r="A8" s="9" t="s">
        <v>53</v>
      </c>
      <c r="B8" s="9" t="s">
        <v>54</v>
      </c>
      <c r="C8" s="9" t="s">
        <v>52</v>
      </c>
      <c r="D8" s="9" t="str">
        <f aca="false">INDEX('Test Cases'!$I$5:$I$29,MATCH(C8,'Test Cases'!$A$5:$A$29,0))</f>
        <v>Pass</v>
      </c>
    </row>
    <row r="9" customFormat="false" ht="15" hidden="false" customHeight="false" outlineLevel="0" collapsed="false">
      <c r="A9" s="9" t="s">
        <v>59</v>
      </c>
      <c r="B9" s="9" t="s">
        <v>60</v>
      </c>
      <c r="C9" s="9" t="s">
        <v>58</v>
      </c>
      <c r="D9" s="9" t="str">
        <f aca="false">INDEX('Test Cases'!$I$5:$I$29,MATCH(C9,'Test Cases'!$A$5:$A$29,0))</f>
        <v>Pass</v>
      </c>
    </row>
    <row r="10" customFormat="false" ht="15" hidden="false" customHeight="false" outlineLevel="0" collapsed="false">
      <c r="A10" s="9" t="s">
        <v>65</v>
      </c>
      <c r="B10" s="9" t="s">
        <v>66</v>
      </c>
      <c r="C10" s="9" t="s">
        <v>64</v>
      </c>
      <c r="D10" s="9" t="str">
        <f aca="false">INDEX('Test Cases'!$I$5:$I$29,MATCH(C10,'Test Cases'!$A$5:$A$29,0))</f>
        <v>Pass</v>
      </c>
    </row>
    <row r="11" customFormat="false" ht="15" hidden="false" customHeight="false" outlineLevel="0" collapsed="false">
      <c r="A11" s="9" t="s">
        <v>71</v>
      </c>
      <c r="B11" s="9" t="s">
        <v>72</v>
      </c>
      <c r="C11" s="9" t="s">
        <v>70</v>
      </c>
      <c r="D11" s="9" t="str">
        <f aca="false">INDEX('Test Cases'!$I$5:$I$29,MATCH(C11,'Test Cases'!$A$5:$A$29,0))</f>
        <v>Pass</v>
      </c>
    </row>
    <row r="12" customFormat="false" ht="15" hidden="false" customHeight="false" outlineLevel="0" collapsed="false">
      <c r="A12" s="9" t="s">
        <v>77</v>
      </c>
      <c r="B12" s="9" t="s">
        <v>78</v>
      </c>
      <c r="C12" s="9" t="s">
        <v>76</v>
      </c>
      <c r="D12" s="9" t="str">
        <f aca="false">INDEX('Test Cases'!$I$5:$I$29,MATCH(C12,'Test Cases'!$A$5:$A$29,0))</f>
        <v>Pass</v>
      </c>
    </row>
    <row r="13" customFormat="false" ht="15" hidden="false" customHeight="false" outlineLevel="0" collapsed="false">
      <c r="A13" s="9" t="s">
        <v>82</v>
      </c>
      <c r="B13" s="9" t="s">
        <v>83</v>
      </c>
      <c r="C13" s="9" t="s">
        <v>81</v>
      </c>
      <c r="D13" s="9" t="str">
        <f aca="false">INDEX('Test Cases'!$I$5:$I$29,MATCH(C13,'Test Cases'!$A$5:$A$29,0))</f>
        <v>Pass</v>
      </c>
    </row>
    <row r="14" customFormat="false" ht="15" hidden="false" customHeight="false" outlineLevel="0" collapsed="false">
      <c r="A14" s="9" t="s">
        <v>178</v>
      </c>
      <c r="B14" s="9" t="s">
        <v>89</v>
      </c>
      <c r="C14" s="9" t="s">
        <v>87</v>
      </c>
      <c r="D14" s="9" t="str">
        <f aca="false">INDEX('Test Cases'!$I$5:$I$29,MATCH(C14,'Test Cases'!$A$5:$A$29,0))</f>
        <v>Pass</v>
      </c>
    </row>
    <row r="15" customFormat="false" ht="15" hidden="false" customHeight="false" outlineLevel="0" collapsed="false">
      <c r="A15" s="9" t="s">
        <v>94</v>
      </c>
      <c r="B15" s="9" t="s">
        <v>95</v>
      </c>
      <c r="C15" s="9" t="s">
        <v>93</v>
      </c>
      <c r="D15" s="9" t="str">
        <f aca="false">INDEX('Test Cases'!$I$5:$I$29,MATCH(C15,'Test Cases'!$A$5:$A$29,0))</f>
        <v>Pass</v>
      </c>
    </row>
    <row r="16" customFormat="false" ht="15" hidden="false" customHeight="false" outlineLevel="0" collapsed="false">
      <c r="A16" s="9" t="s">
        <v>100</v>
      </c>
      <c r="B16" s="9" t="s">
        <v>101</v>
      </c>
      <c r="C16" s="9" t="s">
        <v>99</v>
      </c>
      <c r="D16" s="9" t="str">
        <f aca="false">INDEX('Test Cases'!$I$5:$I$29,MATCH(C16,'Test Cases'!$A$5:$A$29,0))</f>
        <v>Pass</v>
      </c>
    </row>
    <row r="17" customFormat="false" ht="15" hidden="false" customHeight="false" outlineLevel="0" collapsed="false">
      <c r="A17" s="9" t="s">
        <v>106</v>
      </c>
      <c r="B17" s="9" t="s">
        <v>107</v>
      </c>
      <c r="C17" s="9" t="s">
        <v>105</v>
      </c>
      <c r="D17" s="9" t="str">
        <f aca="false">INDEX('Test Cases'!$I$5:$I$29,MATCH(C17,'Test Cases'!$A$5:$A$29,0))</f>
        <v>Pass</v>
      </c>
    </row>
    <row r="18" customFormat="false" ht="15" hidden="false" customHeight="false" outlineLevel="0" collapsed="false">
      <c r="A18" s="9" t="s">
        <v>112</v>
      </c>
      <c r="B18" s="9" t="s">
        <v>179</v>
      </c>
      <c r="C18" s="9" t="s">
        <v>111</v>
      </c>
      <c r="D18" s="9" t="str">
        <f aca="false">INDEX('Test Cases'!$I$5:$I$29,MATCH(C18,'Test Cases'!$A$5:$A$29,0))</f>
        <v>Pass</v>
      </c>
    </row>
    <row r="19" customFormat="false" ht="15" hidden="false" customHeight="false" outlineLevel="0" collapsed="false">
      <c r="A19" s="9" t="s">
        <v>118</v>
      </c>
      <c r="B19" s="9" t="s">
        <v>180</v>
      </c>
      <c r="C19" s="9" t="s">
        <v>117</v>
      </c>
      <c r="D19" s="9" t="str">
        <f aca="false">INDEX('Test Cases'!$I$5:$I$29,MATCH(C19,'Test Cases'!$A$5:$A$29,0))</f>
        <v>Pass</v>
      </c>
    </row>
    <row r="20" customFormat="false" ht="15" hidden="false" customHeight="false" outlineLevel="0" collapsed="false">
      <c r="A20" s="9" t="s">
        <v>124</v>
      </c>
      <c r="B20" s="9" t="s">
        <v>125</v>
      </c>
      <c r="C20" s="9" t="s">
        <v>123</v>
      </c>
      <c r="D20" s="9" t="str">
        <f aca="false">INDEX('Test Cases'!$I$5:$I$29,MATCH(C20,'Test Cases'!$A$5:$A$29,0))</f>
        <v>Not Run</v>
      </c>
    </row>
    <row r="21" customFormat="false" ht="15" hidden="false" customHeight="false" outlineLevel="0" collapsed="false">
      <c r="A21" s="9" t="s">
        <v>131</v>
      </c>
      <c r="B21" s="9" t="s">
        <v>132</v>
      </c>
      <c r="C21" s="9" t="s">
        <v>130</v>
      </c>
      <c r="D21" s="9" t="str">
        <f aca="false">INDEX('Test Cases'!$I$5:$I$29,MATCH(C21,'Test Cases'!$A$5:$A$29,0))</f>
        <v>Pass</v>
      </c>
    </row>
    <row r="22" customFormat="false" ht="15" hidden="false" customHeight="false" outlineLevel="0" collapsed="false">
      <c r="A22" s="9" t="s">
        <v>181</v>
      </c>
      <c r="B22" s="9" t="s">
        <v>182</v>
      </c>
      <c r="C22" s="9" t="s">
        <v>136</v>
      </c>
      <c r="D22" s="9" t="str">
        <f aca="false">INDEX('Test Cases'!$I$5:$I$29,MATCH(C22,'Test Cases'!$A$5:$A$29,0))</f>
        <v>Pass</v>
      </c>
    </row>
    <row r="23" customFormat="false" ht="15" hidden="false" customHeight="false" outlineLevel="0" collapsed="false">
      <c r="A23" s="9" t="s">
        <v>162</v>
      </c>
      <c r="B23" s="9" t="s">
        <v>183</v>
      </c>
      <c r="C23" s="9" t="s">
        <v>161</v>
      </c>
      <c r="D23" s="9" t="str">
        <f aca="false">INDEX('Test Cases'!$I$5:$I$29,MATCH(C23,'Test Cases'!$A$5:$A$29,0))</f>
        <v>Pass</v>
      </c>
    </row>
    <row r="24" customFormat="false" ht="15" hidden="false" customHeight="false" outlineLevel="0" collapsed="false">
      <c r="A24" s="9" t="s">
        <v>143</v>
      </c>
      <c r="B24" s="9" t="s">
        <v>144</v>
      </c>
      <c r="C24" s="9" t="s">
        <v>142</v>
      </c>
      <c r="D24" s="9" t="str">
        <f aca="false">INDEX('Test Cases'!$I$5:$I$29,MATCH(C24,'Test Cases'!$A$5:$A$29,0))</f>
        <v>Pass</v>
      </c>
    </row>
    <row r="25" customFormat="false" ht="15" hidden="false" customHeight="false" outlineLevel="0" collapsed="false">
      <c r="A25" s="9" t="s">
        <v>149</v>
      </c>
      <c r="B25" s="9" t="s">
        <v>150</v>
      </c>
      <c r="C25" s="9" t="s">
        <v>148</v>
      </c>
      <c r="D25" s="9" t="str">
        <f aca="false">INDEX('Test Cases'!$I$5:$I$29,MATCH(C25,'Test Cases'!$A$5:$A$29,0))</f>
        <v>Pass</v>
      </c>
    </row>
    <row r="26" customFormat="false" ht="15" hidden="false" customHeight="false" outlineLevel="0" collapsed="false">
      <c r="A26" s="9" t="s">
        <v>184</v>
      </c>
      <c r="B26" s="9" t="s">
        <v>185</v>
      </c>
      <c r="C26" s="9" t="s">
        <v>136</v>
      </c>
      <c r="D26" s="9" t="str">
        <f aca="false">INDEX('Test Cases'!$I$5:$I$29,MATCH(C26,'Test Cases'!$A$5:$A$29,0))</f>
        <v>Pass</v>
      </c>
    </row>
    <row r="27" customFormat="false" ht="15" hidden="false" customHeight="false" outlineLevel="0" collapsed="false">
      <c r="A27" s="9" t="s">
        <v>155</v>
      </c>
      <c r="B27" s="9" t="s">
        <v>156</v>
      </c>
      <c r="C27" s="9" t="s">
        <v>154</v>
      </c>
      <c r="D27" s="9" t="str">
        <f aca="false">INDEX('Test Cases'!$I$5:$I$29,MATCH(C27,'Test Cases'!$A$5:$A$29,0))</f>
        <v>Pass</v>
      </c>
    </row>
    <row r="28" customFormat="false" ht="15" hidden="false" customHeight="false" outlineLevel="0" collapsed="false">
      <c r="A28" s="9" t="s">
        <v>186</v>
      </c>
      <c r="B28" s="9" t="s">
        <v>187</v>
      </c>
      <c r="C28" s="9" t="s">
        <v>87</v>
      </c>
      <c r="D28" s="9" t="str">
        <f aca="false">INDEX('Test Cases'!$I$5:$I$29,MATCH(C28,'Test Cases'!$A$5:$A$29,0))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2026-10-01T14:55:31Z</dcterms:created>
  <dc:creator>openpyxl</dc:creator>
  <dc:description/>
  <dc:language>en-US</dc:language>
  <cp:lastModifiedBy/>
  <dcterms:modified xsi:type="dcterms:W3CDTF">2026-10-01T14:55:31Z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