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TM" sheetId="3" state="visible" r:id="rId3"/>
    <sheet xmlns:r="http://schemas.openxmlformats.org/officeDocument/2006/relationships" name="Sprint 1 QA Execution" sheetId="4" state="visible" r:id="rId4"/>
    <sheet xmlns:r="http://schemas.openxmlformats.org/officeDocument/2006/relationships" name="UX Evidence" sheetId="5" state="visible" r:id="rId5"/>
  </sheets>
  <definedNames/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Calibri"/>
      <charset val="1"/>
      <family val="2"/>
      <b val="1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10" min="1" max="1"/>
    <col width="18" customWidth="1" style="10" min="2" max="2"/>
    <col width="28" customWidth="1" style="10" min="3" max="3"/>
    <col width="40" customWidth="1" style="10" min="4" max="5"/>
    <col width="11" customWidth="1" style="10" min="6" max="6"/>
    <col width="45" customWidth="1" style="10" min="7" max="7"/>
    <col width="38" customWidth="1" style="10" min="8" max="8"/>
    <col width="10" customWidth="1" style="10" min="9" max="9"/>
  </cols>
  <sheetData>
    <row r="1" ht="17.35" customHeight="1" s="11">
      <c r="A1" s="12" t="inlineStr">
        <is>
          <t>Team 10 - Vehicle Parking System: Test Cases (Sprint 1)</t>
        </is>
      </c>
    </row>
    <row r="2" ht="15" customHeight="1" s="11">
      <c r="A2" s="13" t="inlineStr">
        <is>
          <t>Status for automated cases is taken from the pytest run. Edit Actual Result / Status for manual cases.</t>
        </is>
      </c>
    </row>
    <row r="4" ht="15" customHeight="1" s="11">
      <c r="A4" s="14" t="inlineStr">
        <is>
          <t>Test Case ID</t>
        </is>
      </c>
      <c r="B4" s="14" t="inlineStr">
        <is>
          <t>Requirement ID</t>
        </is>
      </c>
      <c r="C4" s="14" t="inlineStr">
        <is>
          <t>Title</t>
        </is>
      </c>
      <c r="D4" s="14" t="inlineStr">
        <is>
          <t>Steps</t>
        </is>
      </c>
      <c r="E4" s="14" t="inlineStr">
        <is>
          <t>Expected Result</t>
        </is>
      </c>
      <c r="F4" s="14" t="inlineStr">
        <is>
          <t>Type</t>
        </is>
      </c>
      <c r="G4" s="14" t="inlineStr">
        <is>
          <t>Automated Tests</t>
        </is>
      </c>
      <c r="H4" s="14" t="inlineStr">
        <is>
          <t>Actual Result</t>
        </is>
      </c>
      <c r="I4" s="14" t="inlineStr">
        <is>
          <t>Status</t>
        </is>
      </c>
    </row>
    <row r="5" ht="26.85" customHeight="1" s="11">
      <c r="A5" s="15" t="inlineStr">
        <is>
          <t>TC-Reg-01</t>
        </is>
      </c>
      <c r="B5" s="15" t="inlineStr">
        <is>
          <t>VPS-F-001</t>
        </is>
      </c>
      <c r="C5" s="15" t="inlineStr">
        <is>
          <t>User registration</t>
        </is>
      </c>
      <c r="D5" s="15" t="inlineStr">
        <is>
          <t>Open /register; enter valid name, email, password; submit</t>
        </is>
      </c>
      <c r="E5" s="15" t="inlineStr">
        <is>
          <t>User saved, success message, redirect to login; invalid input rejected</t>
        </is>
      </c>
      <c r="F5" s="15" t="inlineStr">
        <is>
          <t>Automated</t>
        </is>
      </c>
      <c r="G5" s="15" t="inlineStr">
        <is>
          <t>test_register_success, test_register_invalid_inputs</t>
        </is>
      </c>
      <c r="H5" s="15" t="inlineStr">
        <is>
          <t>2 automated test(s) executed: all passed</t>
        </is>
      </c>
      <c r="I5" s="15" t="inlineStr">
        <is>
          <t>Pass</t>
        </is>
      </c>
    </row>
    <row r="6" ht="39.55" customHeight="1" s="11">
      <c r="A6" s="15" t="inlineStr">
        <is>
          <t>TC-Reg-02</t>
        </is>
      </c>
      <c r="B6" s="15" t="inlineStr">
        <is>
          <t>VPS-F-002</t>
        </is>
      </c>
      <c r="C6" s="15" t="inlineStr">
        <is>
          <t>Duplicate email validation</t>
        </is>
      </c>
      <c r="D6" s="15" t="inlineStr">
        <is>
          <t>Register twice with same email (also different case)</t>
        </is>
      </c>
      <c r="E6" s="15" t="inlineStr">
        <is>
          <t>Second registration rejected with 'Email already registered'</t>
        </is>
      </c>
      <c r="F6" s="15" t="inlineStr">
        <is>
          <t>Automated</t>
        </is>
      </c>
      <c r="G6" s="15" t="inlineStr">
        <is>
          <t>test_duplicate_email_rejected_by_db, test_register_duplicate_email, test_register_duplicate_email_case_insensitive</t>
        </is>
      </c>
      <c r="H6" s="15" t="inlineStr">
        <is>
          <t>3 automated test(s) executed: all passed</t>
        </is>
      </c>
      <c r="I6" s="15" t="inlineStr">
        <is>
          <t>Pass</t>
        </is>
      </c>
    </row>
    <row r="7" ht="26.85" customHeight="1" s="11">
      <c r="A7" s="15" t="inlineStr">
        <is>
          <t>TC-Auth-01</t>
        </is>
      </c>
      <c r="B7" s="15" t="inlineStr">
        <is>
          <t>VPS-F-003</t>
        </is>
      </c>
      <c r="C7" s="15" t="inlineStr">
        <is>
          <t>Password hashing</t>
        </is>
      </c>
      <c r="D7" s="15" t="inlineStr">
        <is>
          <t>Register a user; inspect stored password</t>
        </is>
      </c>
      <c r="E7" s="15" t="inlineStr">
        <is>
          <t>Stored value is a salted hash, not plain text</t>
        </is>
      </c>
      <c r="F7" s="15" t="inlineStr">
        <is>
          <t>Automated</t>
        </is>
      </c>
      <c r="G7" s="15" t="inlineStr">
        <is>
          <t>test_password_is_hashed_not_plain</t>
        </is>
      </c>
      <c r="H7" s="15" t="inlineStr">
        <is>
          <t>1 automated test(s) executed: all passed</t>
        </is>
      </c>
      <c r="I7" s="15" t="inlineStr">
        <is>
          <t>Pass</t>
        </is>
      </c>
    </row>
    <row r="8" ht="39.55" customHeight="1" s="11">
      <c r="A8" s="15" t="inlineStr">
        <is>
          <t>TC-Auth-02</t>
        </is>
      </c>
      <c r="B8" s="15" t="inlineStr">
        <is>
          <t>VPS-F-004</t>
        </is>
      </c>
      <c r="C8" s="15" t="inlineStr">
        <is>
          <t>User authentication</t>
        </is>
      </c>
      <c r="D8" s="15" t="inlineStr">
        <is>
          <t>Log in with correct, wrong and unknown credentials</t>
        </is>
      </c>
      <c r="E8" s="15" t="inlineStr">
        <is>
          <t>Correct -&gt; dashboard; wrong/unknown -&gt; 'Invalid email or password'</t>
        </is>
      </c>
      <c r="F8" s="15" t="inlineStr">
        <is>
          <t>Automated</t>
        </is>
      </c>
      <c r="G8" s="15" t="inlineStr">
        <is>
          <t>test_login_success_reaches_dashboard, test_login_wrong_password, test_login_unknown_user</t>
        </is>
      </c>
      <c r="H8" s="15" t="inlineStr">
        <is>
          <t>3 automated test(s) executed: all passed</t>
        </is>
      </c>
      <c r="I8" s="15" t="inlineStr">
        <is>
          <t>Pass</t>
        </is>
      </c>
    </row>
    <row r="9" ht="39.55" customHeight="1" s="11">
      <c r="A9" s="15" t="inlineStr">
        <is>
          <t>TC-Slot-01</t>
        </is>
      </c>
      <c r="B9" s="15" t="inlineStr">
        <is>
          <t>VPS-F-005</t>
        </is>
      </c>
      <c r="C9" s="15" t="inlineStr">
        <is>
          <t>Display parking slots</t>
        </is>
      </c>
      <c r="D9" s="15" t="inlineStr">
        <is>
          <t>Log in and open dashboard</t>
        </is>
      </c>
      <c r="E9" s="15" t="inlineStr">
        <is>
          <t>All slots displayed; message if none exist</t>
        </is>
      </c>
      <c r="F9" s="15" t="inlineStr">
        <is>
          <t>Automated</t>
        </is>
      </c>
      <c r="G9" s="15" t="inlineStr">
        <is>
          <t>test_dashboard_lists_slots, test_dashboard_empty</t>
        </is>
      </c>
      <c r="H9" s="15" t="inlineStr">
        <is>
          <t>2 automated test(s) executed: all passed</t>
        </is>
      </c>
      <c r="I9" s="15" t="inlineStr">
        <is>
          <t>Pass</t>
        </is>
      </c>
    </row>
    <row r="10" ht="26.85" customHeight="1" s="11">
      <c r="A10" s="15" t="inlineStr">
        <is>
          <t>TC-Slot-02</t>
        </is>
      </c>
      <c r="B10" s="15" t="inlineStr">
        <is>
          <t>VPS-F-006</t>
        </is>
      </c>
      <c r="C10" s="15" t="inlineStr">
        <is>
          <t>Floor-wise slot display</t>
        </is>
      </c>
      <c r="D10" s="15" t="inlineStr">
        <is>
          <t>Create slots on floors 1 and 2; open dashboard</t>
        </is>
      </c>
      <c r="E10" s="15" t="inlineStr">
        <is>
          <t>Slots grouped under floor headings in order</t>
        </is>
      </c>
      <c r="F10" s="15" t="inlineStr">
        <is>
          <t>Automated</t>
        </is>
      </c>
      <c r="G10" s="15" t="inlineStr">
        <is>
          <t>test_dashboard_groups_by_floor</t>
        </is>
      </c>
      <c r="H10" s="15" t="inlineStr">
        <is>
          <t>1 automated test(s) executed: all passed</t>
        </is>
      </c>
      <c r="I10" s="15" t="inlineStr">
        <is>
          <t>Pass</t>
        </is>
      </c>
    </row>
    <row r="11" ht="26.85" customHeight="1" s="11">
      <c r="A11" s="15" t="inlineStr">
        <is>
          <t>TC-Slot-03</t>
        </is>
      </c>
      <c r="B11" s="15" t="inlineStr">
        <is>
          <t>VPS-F-007</t>
        </is>
      </c>
      <c r="C11" s="15" t="inlineStr">
        <is>
          <t>Prevent booking occupied slot</t>
        </is>
      </c>
      <c r="D11" s="15" t="inlineStr">
        <is>
          <t>POST a booking for an occupied slot</t>
        </is>
      </c>
      <c r="E11" s="15" t="inlineStr">
        <is>
          <t>Booking rejected, no booking created</t>
        </is>
      </c>
      <c r="F11" s="15" t="inlineStr">
        <is>
          <t>Automated</t>
        </is>
      </c>
      <c r="G11" s="15" t="inlineStr">
        <is>
          <t>test_cannot_book_occupied_slot</t>
        </is>
      </c>
      <c r="H11" s="15" t="inlineStr">
        <is>
          <t>1 automated test(s) executed: all passed</t>
        </is>
      </c>
      <c r="I11" s="15" t="inlineStr">
        <is>
          <t>Pass</t>
        </is>
      </c>
    </row>
    <row r="12" ht="26.85" customHeight="1" s="11">
      <c r="A12" s="15" t="inlineStr">
        <is>
          <t>TC-Book-01</t>
        </is>
      </c>
      <c r="B12" s="15" t="inlineStr">
        <is>
          <t>VPS-F-008</t>
        </is>
      </c>
      <c r="C12" s="15" t="inlineStr">
        <is>
          <t>Book available slot</t>
        </is>
      </c>
      <c r="D12" s="15" t="inlineStr">
        <is>
          <t>Click available slot; enter vehicle; submit</t>
        </is>
      </c>
      <c r="E12" s="15" t="inlineStr">
        <is>
          <t>Booking created, slot becomes occupied</t>
        </is>
      </c>
      <c r="F12" s="15" t="inlineStr">
        <is>
          <t>Automated</t>
        </is>
      </c>
      <c r="G12" s="15" t="inlineStr">
        <is>
          <t>test_book_available_slot</t>
        </is>
      </c>
      <c r="H12" s="15" t="inlineStr">
        <is>
          <t>1 automated test(s) executed: all passed</t>
        </is>
      </c>
      <c r="I12" s="15" t="inlineStr">
        <is>
          <t>Pass</t>
        </is>
      </c>
    </row>
    <row r="13" ht="39.55" customHeight="1" s="11">
      <c r="A13" s="15" t="inlineStr">
        <is>
          <t>TC-Book-02</t>
        </is>
      </c>
      <c r="B13" s="15" t="inlineStr">
        <is>
          <t>VPS-F-009</t>
        </is>
      </c>
      <c r="C13" s="15" t="inlineStr">
        <is>
          <t>Register new vehicle</t>
        </is>
      </c>
      <c r="D13" s="15" t="inlineStr">
        <is>
          <t>Book with a new vehicle number (valid and invalid)</t>
        </is>
      </c>
      <c r="E13" s="15" t="inlineStr">
        <is>
          <t>Valid: vehicle saved; invalid: rejected, nothing saved</t>
        </is>
      </c>
      <c r="F13" s="15" t="inlineStr">
        <is>
          <t>Automated</t>
        </is>
      </c>
      <c r="G13" s="15" t="inlineStr">
        <is>
          <t>test_book_available_slot, test_booking_invalid_plate_rejected, test_valid_plate</t>
        </is>
      </c>
      <c r="H13" s="15" t="inlineStr">
        <is>
          <t>3 automated test(s) executed: all passed</t>
        </is>
      </c>
      <c r="I13" s="15" t="inlineStr">
        <is>
          <t>Pass</t>
        </is>
      </c>
    </row>
    <row r="14" ht="26.85" customHeight="1" s="11">
      <c r="A14" s="15" t="inlineStr">
        <is>
          <t>TC-Book-03</t>
        </is>
      </c>
      <c r="B14" s="15" t="inlineStr">
        <is>
          <t>VPS-F-010</t>
        </is>
      </c>
      <c r="C14" s="15" t="inlineStr">
        <is>
          <t>Use existing vehicle record</t>
        </is>
      </c>
      <c r="D14" s="15" t="inlineStr">
        <is>
          <t>Book twice with the same vehicle number</t>
        </is>
      </c>
      <c r="E14" s="15" t="inlineStr">
        <is>
          <t>Only one vehicle record exists, two bookings</t>
        </is>
      </c>
      <c r="F14" s="15" t="inlineStr">
        <is>
          <t>Automated</t>
        </is>
      </c>
      <c r="G14" s="15" t="inlineStr">
        <is>
          <t>test_booking_reuses_existing_vehicle</t>
        </is>
      </c>
      <c r="H14" s="15" t="inlineStr">
        <is>
          <t>1 automated test(s) executed: all passed</t>
        </is>
      </c>
      <c r="I14" s="15" t="inlineStr">
        <is>
          <t>Pass</t>
        </is>
      </c>
    </row>
    <row r="15" ht="26.85" customHeight="1" s="11">
      <c r="A15" s="15" t="inlineStr">
        <is>
          <t>TC-Book-04</t>
        </is>
      </c>
      <c r="B15" s="15" t="inlineStr">
        <is>
          <t>VPS-F-011</t>
        </is>
      </c>
      <c r="C15" s="15" t="inlineStr">
        <is>
          <t>Record check-in time</t>
        </is>
      </c>
      <c r="D15" s="15" t="inlineStr">
        <is>
          <t>Book a slot; inspect booking</t>
        </is>
      </c>
      <c r="E15" s="15" t="inlineStr">
        <is>
          <t>check_in set, check_out empty, status active</t>
        </is>
      </c>
      <c r="F15" s="15" t="inlineStr">
        <is>
          <t>Automated</t>
        </is>
      </c>
      <c r="G15" s="15" t="inlineStr">
        <is>
          <t>test_book_available_slot</t>
        </is>
      </c>
      <c r="H15" s="15" t="inlineStr">
        <is>
          <t>1 automated test(s) executed: all passed</t>
        </is>
      </c>
      <c r="I15" s="15" t="inlineStr">
        <is>
          <t>Pass</t>
        </is>
      </c>
    </row>
    <row r="16" ht="26.85" customHeight="1" s="11">
      <c r="A16" s="15" t="inlineStr">
        <is>
          <t>TC-Checkout-01</t>
        </is>
      </c>
      <c r="B16" s="15" t="inlineStr">
        <is>
          <t>VPS-F-012</t>
        </is>
      </c>
      <c r="C16" s="15" t="inlineStr">
        <is>
          <t>Customer check-out</t>
        </is>
      </c>
      <c r="D16" s="15" t="inlineStr">
        <is>
          <t>Check out an active booking (and try twice)</t>
        </is>
      </c>
      <c r="E16" s="15" t="inlineStr">
        <is>
          <t>Status completed, check-out time set, slot available; second attempt blocked</t>
        </is>
      </c>
      <c r="F16" s="15" t="inlineStr">
        <is>
          <t>Automated</t>
        </is>
      </c>
      <c r="G16" s="15" t="inlineStr">
        <is>
          <t>test_customer_checkout, test_double_checkout_blocked</t>
        </is>
      </c>
      <c r="H16" s="15" t="inlineStr">
        <is>
          <t>2 automated test(s) executed: all passed</t>
        </is>
      </c>
      <c r="I16" s="15" t="inlineStr">
        <is>
          <t>Pass</t>
        </is>
      </c>
    </row>
    <row r="17" ht="26.85" customHeight="1" s="11">
      <c r="A17" s="15" t="inlineStr">
        <is>
          <t>TC-Checkout-02</t>
        </is>
      </c>
      <c r="B17" s="15" t="inlineStr">
        <is>
          <t>VPS-F-013 / VPS-SR-005</t>
        </is>
      </c>
      <c r="C17" s="15" t="inlineStr">
        <is>
          <t>Check-out authorization</t>
        </is>
      </c>
      <c r="D17" s="15" t="inlineStr">
        <is>
          <t>Another customer tries to check out the booking</t>
        </is>
      </c>
      <c r="E17" s="15" t="inlineStr">
        <is>
          <t>403 Forbidden; booking stays active</t>
        </is>
      </c>
      <c r="F17" s="15" t="inlineStr">
        <is>
          <t>Automated</t>
        </is>
      </c>
      <c r="G17" s="15" t="inlineStr">
        <is>
          <t>test_other_customer_cannot_checkout</t>
        </is>
      </c>
      <c r="H17" s="15" t="inlineStr">
        <is>
          <t>1 automated test(s) executed: all passed</t>
        </is>
      </c>
      <c r="I17" s="15" t="inlineStr">
        <is>
          <t>Pass</t>
        </is>
      </c>
    </row>
    <row r="18" ht="26.85" customHeight="1" s="11">
      <c r="A18" s="15" t="inlineStr">
        <is>
          <t>TC-Hist-01</t>
        </is>
      </c>
      <c r="B18" s="15" t="inlineStr">
        <is>
          <t>VPS-F-014</t>
        </is>
      </c>
      <c r="C18" s="15" t="inlineStr">
        <is>
          <t>View booking history</t>
        </is>
      </c>
      <c r="D18" s="15" t="inlineStr">
        <is>
          <t>Open /history as two different users</t>
        </is>
      </c>
      <c r="E18" s="15" t="inlineStr">
        <is>
          <t>Each user sees only own bookings; empty message if none</t>
        </is>
      </c>
      <c r="F18" s="15" t="inlineStr">
        <is>
          <t>Automated</t>
        </is>
      </c>
      <c r="G18" s="15" t="inlineStr">
        <is>
          <t>test_history_shows_own_bookings_only, test_history_empty</t>
        </is>
      </c>
      <c r="H18" s="15" t="inlineStr">
        <is>
          <t>2 automated test(s) executed: all passed</t>
        </is>
      </c>
      <c r="I18" s="15" t="inlineStr">
        <is>
          <t>Pass</t>
        </is>
      </c>
    </row>
    <row r="19" ht="39.55" customHeight="1" s="11">
      <c r="A19" s="15" t="inlineStr">
        <is>
          <t>TC-Admin-01</t>
        </is>
      </c>
      <c r="B19" s="15" t="inlineStr">
        <is>
          <t>VPS-F-015</t>
        </is>
      </c>
      <c r="C19" s="15" t="inlineStr">
        <is>
          <t>Admin add parking slot</t>
        </is>
      </c>
      <c r="D19" s="15" t="inlineStr">
        <is>
          <t>Admin adds slot; try duplicate/blank/bad floor</t>
        </is>
      </c>
      <c r="E19" s="15" t="inlineStr">
        <is>
          <t>Valid slot added; invalid input rejected</t>
        </is>
      </c>
      <c r="F19" s="15" t="inlineStr">
        <is>
          <t>Automated</t>
        </is>
      </c>
      <c r="G19" s="15" t="inlineStr">
        <is>
          <t>test_admin_add_slot, test_admin_add_slot_validation, test_duplicate_slot_number_rejected</t>
        </is>
      </c>
      <c r="H19" s="15" t="inlineStr">
        <is>
          <t>3 automated test(s) executed: all passed</t>
        </is>
      </c>
      <c r="I19" s="15" t="inlineStr">
        <is>
          <t>Pass</t>
        </is>
      </c>
    </row>
    <row r="20" ht="26.85" customHeight="1" s="11">
      <c r="A20" s="15" t="inlineStr">
        <is>
          <t>TC-Admin-02</t>
        </is>
      </c>
      <c r="B20" s="15" t="inlineStr">
        <is>
          <t>VPS-F-016</t>
        </is>
      </c>
      <c r="C20" s="15" t="inlineStr">
        <is>
          <t>Admin remove available slot</t>
        </is>
      </c>
      <c r="D20" s="15" t="inlineStr">
        <is>
          <t>Admin removes available and occupied slots</t>
        </is>
      </c>
      <c r="E20" s="15" t="inlineStr">
        <is>
          <t>Available removed; occupied refused</t>
        </is>
      </c>
      <c r="F20" s="15" t="inlineStr">
        <is>
          <t>Automated</t>
        </is>
      </c>
      <c r="G20" s="15" t="inlineStr">
        <is>
          <t>test_admin_remove_available_slot, test_admin_cannot_remove_occupied_slot</t>
        </is>
      </c>
      <c r="H20" s="15" t="inlineStr">
        <is>
          <t>2 automated test(s) executed: all passed</t>
        </is>
      </c>
      <c r="I20" s="15" t="inlineStr">
        <is>
          <t>Pass</t>
        </is>
      </c>
    </row>
    <row r="21" ht="26.85" customHeight="1" s="11">
      <c r="A21" s="15" t="inlineStr">
        <is>
          <t>TC-Admin-03</t>
        </is>
      </c>
      <c r="B21" s="15" t="inlineStr">
        <is>
          <t>VPS-F-017</t>
        </is>
      </c>
      <c r="C21" s="15" t="inlineStr">
        <is>
          <t>Admin view / force checkout</t>
        </is>
      </c>
      <c r="D21" s="15" t="inlineStr">
        <is>
          <t>Admin opens active bookings and force checks out</t>
        </is>
      </c>
      <c r="E21" s="15" t="inlineStr">
        <is>
          <t>Booking completed, slot freed</t>
        </is>
      </c>
      <c r="F21" s="15" t="inlineStr">
        <is>
          <t>Automated</t>
        </is>
      </c>
      <c r="G21" s="15" t="inlineStr">
        <is>
          <t>test_admin_view_and_force_checkout</t>
        </is>
      </c>
      <c r="H21" s="15" t="inlineStr">
        <is>
          <t>1 automated test(s) executed: all passed</t>
        </is>
      </c>
      <c r="I21" s="15" t="inlineStr">
        <is>
          <t>Pass</t>
        </is>
      </c>
    </row>
    <row r="22" ht="26.85" customHeight="1" s="11">
      <c r="A22" s="15" t="inlineStr">
        <is>
          <t>TC-Perf-01</t>
        </is>
      </c>
      <c r="B22" s="15" t="inlineStr">
        <is>
          <t>VPS-NF-001</t>
        </is>
      </c>
      <c r="C22" s="15" t="inlineStr">
        <is>
          <t>Dashboard response time</t>
        </is>
      </c>
      <c r="D22" s="15" t="inlineStr">
        <is>
          <t>Load dashboard with 200 slots</t>
        </is>
      </c>
      <c r="E22" s="15" t="inlineStr">
        <is>
          <t>Responds in &lt;= 2 seconds</t>
        </is>
      </c>
      <c r="F22" s="15" t="inlineStr">
        <is>
          <t>Automated</t>
        </is>
      </c>
      <c r="G22" s="15" t="inlineStr">
        <is>
          <t>test_dashboard_performance_200_slots</t>
        </is>
      </c>
      <c r="H22" s="15" t="inlineStr">
        <is>
          <t>1 automated test(s) executed: all passed</t>
        </is>
      </c>
      <c r="I22" s="15" t="inlineStr">
        <is>
          <t>Pass</t>
        </is>
      </c>
    </row>
    <row r="23" ht="26.85" customHeight="1" s="11">
      <c r="A23" s="15" t="inlineStr">
        <is>
          <t>TC-UX-01</t>
        </is>
      </c>
      <c r="B23" s="15" t="inlineStr">
        <is>
          <t>VPS-NF-002</t>
        </is>
      </c>
      <c r="C23" s="15" t="inlineStr">
        <is>
          <t>Core actions within 3 clicks</t>
        </is>
      </c>
      <c r="D23" s="15" t="inlineStr">
        <is>
          <t>Count clicks: book, check out, history, admin add</t>
        </is>
      </c>
      <c r="E23" s="15" t="inlineStr">
        <is>
          <t>Each reachable in &lt;= 3 clicks (manual)</t>
        </is>
      </c>
      <c r="F23" s="15" t="inlineStr">
        <is>
          <t>Manual</t>
        </is>
      </c>
      <c r="G23" s="15" t="n"/>
      <c r="H23" s="15" t="inlineStr">
        <is>
          <t>Manual execution: Booking + Check-in completed in 2 clicks (F1-01 → Book &amp; Check-in). Checkout completed in 2 clicks (My Bookings → Check out). Both are within the 3-click requirement.</t>
        </is>
      </c>
      <c r="I23" s="15" t="inlineStr">
        <is>
          <t>Pass</t>
        </is>
      </c>
    </row>
    <row r="24" ht="26.85" customHeight="1" s="11">
      <c r="A24" s="15" t="inlineStr">
        <is>
          <t>TC-Rel-01</t>
        </is>
      </c>
      <c r="B24" s="15" t="inlineStr">
        <is>
          <t>VPS-NF-003</t>
        </is>
      </c>
      <c r="C24" s="15" t="inlineStr">
        <is>
          <t>Slot status consistent with bookings</t>
        </is>
      </c>
      <c r="D24" s="15" t="inlineStr">
        <is>
          <t>Book 3 slots, check out 1</t>
        </is>
      </c>
      <c r="E24" s="15" t="inlineStr">
        <is>
          <t>Occupied slots == active bookings</t>
        </is>
      </c>
      <c r="F24" s="15" t="inlineStr">
        <is>
          <t>Automated</t>
        </is>
      </c>
      <c r="G24" s="15" t="inlineStr">
        <is>
          <t>test_book_available_slot, test_slot_status_consistent_with_bookings</t>
        </is>
      </c>
      <c r="H24" s="15" t="inlineStr">
        <is>
          <t>2 automated test(s) executed: all passed</t>
        </is>
      </c>
      <c r="I24" s="15" t="inlineStr">
        <is>
          <t>Pass</t>
        </is>
      </c>
    </row>
    <row r="25" ht="26.85" customHeight="1" s="11">
      <c r="A25" s="15" t="inlineStr">
        <is>
          <t>TC-Sec-01</t>
        </is>
      </c>
      <c r="B25" s="15" t="inlineStr">
        <is>
          <t>VPS-NF-004 / VPS-SR-003</t>
        </is>
      </c>
      <c r="C25" s="15" t="inlineStr">
        <is>
          <t>Session invalidated after logout</t>
        </is>
      </c>
      <c r="D25" s="15" t="inlineStr">
        <is>
          <t>Log out, then open protected pages</t>
        </is>
      </c>
      <c r="E25" s="15" t="inlineStr">
        <is>
          <t>Redirected to login</t>
        </is>
      </c>
      <c r="F25" s="15" t="inlineStr">
        <is>
          <t>Automated</t>
        </is>
      </c>
      <c r="G25" s="15" t="inlineStr">
        <is>
          <t>test_logout_invalidates_session</t>
        </is>
      </c>
      <c r="H25" s="15" t="inlineStr">
        <is>
          <t>1 automated test(s) executed: all passed</t>
        </is>
      </c>
      <c r="I25" s="15" t="inlineStr">
        <is>
          <t>Pass</t>
        </is>
      </c>
    </row>
    <row r="26" ht="26.85" customHeight="1" s="11">
      <c r="A26" s="15" t="inlineStr">
        <is>
          <t>TC-Sec-02</t>
        </is>
      </c>
      <c r="B26" s="15" t="inlineStr">
        <is>
          <t>VPS-SR-001</t>
        </is>
      </c>
      <c r="C26" s="15" t="inlineStr">
        <is>
          <t>Secure password hashing</t>
        </is>
      </c>
      <c r="D26" s="15" t="inlineStr">
        <is>
          <t>Compare hashes of same password for two users</t>
        </is>
      </c>
      <c r="E26" s="15" t="inlineStr">
        <is>
          <t>Hashes differ (salted) and are not plain text</t>
        </is>
      </c>
      <c r="F26" s="15" t="inlineStr">
        <is>
          <t>Automated</t>
        </is>
      </c>
      <c r="G26" s="15" t="inlineStr">
        <is>
          <t>test_password_is_hashed_not_plain, test_same_password_gives_different_hashes</t>
        </is>
      </c>
      <c r="H26" s="15" t="inlineStr">
        <is>
          <t>2 automated test(s) executed: all passed</t>
        </is>
      </c>
      <c r="I26" s="15" t="inlineStr">
        <is>
          <t>Pass</t>
        </is>
      </c>
    </row>
    <row r="27" ht="26.85" customHeight="1" s="11">
      <c r="A27" s="15" t="inlineStr">
        <is>
          <t>TC-Sec-03</t>
        </is>
      </c>
      <c r="B27" s="15" t="inlineStr">
        <is>
          <t>VPS-SR-002</t>
        </is>
      </c>
      <c r="C27" s="15" t="inlineStr">
        <is>
          <t>Admin route authorization</t>
        </is>
      </c>
      <c r="D27" s="15" t="inlineStr">
        <is>
          <t>Customer and anonymous access admin URLs</t>
        </is>
      </c>
      <c r="E27" s="15" t="inlineStr">
        <is>
          <t>Customer 403, anonymous redirected to login</t>
        </is>
      </c>
      <c r="F27" s="15" t="inlineStr">
        <is>
          <t>Automated</t>
        </is>
      </c>
      <c r="G27" s="15" t="inlineStr">
        <is>
          <t>test_non_admin_blocked_from_admin_routes, test_anonymous_blocked_from_admin_routes</t>
        </is>
      </c>
      <c r="H27" s="15" t="inlineStr">
        <is>
          <t>2 automated test(s) executed: all passed</t>
        </is>
      </c>
      <c r="I27" s="15" t="inlineStr">
        <is>
          <t>Pass</t>
        </is>
      </c>
    </row>
    <row r="28" ht="52.2" customHeight="1" s="11">
      <c r="A28" s="15" t="inlineStr">
        <is>
          <t>TC-Sec-04</t>
        </is>
      </c>
      <c r="B28" s="15" t="inlineStr">
        <is>
          <t>VPS-SR-004</t>
        </is>
      </c>
      <c r="C28" s="15" t="inlineStr">
        <is>
          <t>Input validation and sanitisation</t>
        </is>
      </c>
      <c r="D28" s="15" t="inlineStr">
        <is>
          <t>Submit malformed email/plate and &lt;script&gt; in name</t>
        </is>
      </c>
      <c r="E28" s="15" t="inlineStr">
        <is>
          <t>Rejected or escaped safely</t>
        </is>
      </c>
      <c r="F28" s="15" t="inlineStr">
        <is>
          <t>Automated</t>
        </is>
      </c>
      <c r="G28" s="15" t="inlineStr">
        <is>
          <t>test_booking_invalid_plate_rejected, test_register_invalid_inputs, test_register_script_input_is_escaped</t>
        </is>
      </c>
      <c r="H28" s="15" t="inlineStr">
        <is>
          <t>3 automated test(s) executed: all passed</t>
        </is>
      </c>
      <c r="I28" s="15" t="inlineStr">
        <is>
          <t>Pass</t>
        </is>
      </c>
    </row>
    <row r="29" ht="26.85" customHeight="1" s="11">
      <c r="A29" s="15" t="inlineStr">
        <is>
          <t>CR-01</t>
        </is>
      </c>
      <c r="B29" s="15" t="inlineStr">
        <is>
          <t>VPS-NF-005</t>
        </is>
      </c>
      <c r="C29" s="15" t="inlineStr">
        <is>
          <t>Models, routes, templates separated</t>
        </is>
      </c>
      <c r="D29" s="15" t="inlineStr">
        <is>
          <t>Code review of project structure</t>
        </is>
      </c>
      <c r="E29" s="15" t="inlineStr">
        <is>
          <t>app/models.py, app/routes/, app/templates/ are separate (review)</t>
        </is>
      </c>
      <c r="F29" s="15" t="inlineStr">
        <is>
          <t>Manual</t>
        </is>
      </c>
      <c r="G29" s="15" t="n"/>
      <c r="H29" s="15" t="inlineStr">
        <is>
          <t>Structure verified: separate models/routes/templates</t>
        </is>
      </c>
      <c r="I29" s="15" t="inlineStr">
        <is>
          <t>Pass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14" customWidth="1" style="10" min="2" max="2"/>
  </cols>
  <sheetData>
    <row r="1" ht="17.35" customHeight="1" s="11">
      <c r="A1" s="12" t="inlineStr">
        <is>
          <t>Test Execution Summary</t>
        </is>
      </c>
    </row>
    <row r="3" ht="15" customHeight="1" s="11">
      <c r="A3" s="16" t="inlineStr">
        <is>
          <t>Total test cases</t>
        </is>
      </c>
      <c r="B3" s="17">
        <f>COUNTA('Test Cases'!A5:A29)</f>
        <v/>
      </c>
    </row>
    <row r="4" ht="15" customHeight="1" s="11">
      <c r="A4" s="16" t="inlineStr">
        <is>
          <t>Passed</t>
        </is>
      </c>
      <c r="B4" s="17">
        <f>COUNTIF('Test Cases'!I5:I29,"Pass")</f>
        <v/>
      </c>
    </row>
    <row r="5" ht="15" customHeight="1" s="11">
      <c r="A5" s="16" t="inlineStr">
        <is>
          <t>Failed</t>
        </is>
      </c>
      <c r="B5" s="17">
        <f>COUNTIF('Test Cases'!I5:I29,"Fail")</f>
        <v/>
      </c>
    </row>
    <row r="6" ht="15" customHeight="1" s="11">
      <c r="A6" s="16" t="inlineStr">
        <is>
          <t>Not run</t>
        </is>
      </c>
      <c r="B6" s="17">
        <f>COUNTIF('Test Cases'!I5:I29,"Not Run")</f>
        <v/>
      </c>
    </row>
    <row r="7" ht="15" customHeight="1" s="11">
      <c r="A7" s="16" t="inlineStr">
        <is>
          <t>% executed</t>
        </is>
      </c>
      <c r="B7" s="18">
        <f>IFERROR((B4+B5)/B3,0)</f>
        <v/>
      </c>
    </row>
    <row r="8" ht="15" customHeight="1" s="11">
      <c r="A8" s="16" t="inlineStr">
        <is>
          <t>% passed</t>
        </is>
      </c>
      <c r="B8" s="18">
        <f>IFERROR(B4/B3,0)</f>
        <v/>
      </c>
    </row>
    <row r="10" ht="15" customHeight="1" s="11">
      <c r="A10" s="16" t="inlineStr">
        <is>
          <t>Automated pytest tests in repo:</t>
        </is>
      </c>
      <c r="B10" s="19" t="n">
        <v>53</v>
      </c>
      <c r="C10" s="13" t="inlineStr">
        <is>
          <t>Source: pytest run (report.xml)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42" customWidth="1" style="10" min="2" max="2"/>
    <col width="18" customWidth="1" style="10" min="3" max="3"/>
    <col width="30" customWidth="1" style="10" min="4" max="4"/>
  </cols>
  <sheetData>
    <row r="1" ht="26.85" customHeight="1" s="11">
      <c r="A1" s="14" t="inlineStr">
        <is>
          <t>Requirement ID</t>
        </is>
      </c>
      <c r="B1" s="14" t="inlineStr">
        <is>
          <t>Description</t>
        </is>
      </c>
      <c r="C1" s="14" t="inlineStr">
        <is>
          <t>Test Case ID</t>
        </is>
      </c>
      <c r="D1" s="14" t="inlineStr">
        <is>
          <t>Status (from Test Cases sheet)</t>
        </is>
      </c>
    </row>
    <row r="2" ht="15" customHeight="1" s="11">
      <c r="A2" s="20" t="inlineStr">
        <is>
          <t>VPS-F-001</t>
        </is>
      </c>
      <c r="B2" s="20" t="inlineStr">
        <is>
          <t>User registration</t>
        </is>
      </c>
      <c r="C2" s="20" t="inlineStr">
        <is>
          <t>TC-Reg-01</t>
        </is>
      </c>
      <c r="D2" s="20">
        <f>INDEX('Test Cases'!$I$5:$I$29,MATCH(C2,'Test Cases'!$A$5:$A$29,0))</f>
        <v/>
      </c>
    </row>
    <row r="3" ht="15" customHeight="1" s="11">
      <c r="A3" s="20" t="inlineStr">
        <is>
          <t>VPS-F-002</t>
        </is>
      </c>
      <c r="B3" s="20" t="inlineStr">
        <is>
          <t>Duplicate email validation</t>
        </is>
      </c>
      <c r="C3" s="20" t="inlineStr">
        <is>
          <t>TC-Reg-02</t>
        </is>
      </c>
      <c r="D3" s="20">
        <f>INDEX('Test Cases'!$I$5:$I$29,MATCH(C3,'Test Cases'!$A$5:$A$29,0))</f>
        <v/>
      </c>
    </row>
    <row r="4" ht="15" customHeight="1" s="11">
      <c r="A4" s="20" t="inlineStr">
        <is>
          <t>VPS-F-003</t>
        </is>
      </c>
      <c r="B4" s="20" t="inlineStr">
        <is>
          <t>Password hashing</t>
        </is>
      </c>
      <c r="C4" s="20" t="inlineStr">
        <is>
          <t>TC-Auth-01</t>
        </is>
      </c>
      <c r="D4" s="20">
        <f>INDEX('Test Cases'!$I$5:$I$29,MATCH(C4,'Test Cases'!$A$5:$A$29,0))</f>
        <v/>
      </c>
    </row>
    <row r="5" ht="15" customHeight="1" s="11">
      <c r="A5" s="20" t="inlineStr">
        <is>
          <t>VPS-F-004</t>
        </is>
      </c>
      <c r="B5" s="20" t="inlineStr">
        <is>
          <t>User authentication</t>
        </is>
      </c>
      <c r="C5" s="20" t="inlineStr">
        <is>
          <t>TC-Auth-02</t>
        </is>
      </c>
      <c r="D5" s="20">
        <f>INDEX('Test Cases'!$I$5:$I$29,MATCH(C5,'Test Cases'!$A$5:$A$29,0))</f>
        <v/>
      </c>
    </row>
    <row r="6" ht="15" customHeight="1" s="11">
      <c r="A6" s="20" t="inlineStr">
        <is>
          <t>VPS-F-005</t>
        </is>
      </c>
      <c r="B6" s="20" t="inlineStr">
        <is>
          <t>Display parking slots</t>
        </is>
      </c>
      <c r="C6" s="20" t="inlineStr">
        <is>
          <t>TC-Slot-01</t>
        </is>
      </c>
      <c r="D6" s="20">
        <f>INDEX('Test Cases'!$I$5:$I$29,MATCH(C6,'Test Cases'!$A$5:$A$29,0))</f>
        <v/>
      </c>
    </row>
    <row r="7" ht="15" customHeight="1" s="11">
      <c r="A7" s="20" t="inlineStr">
        <is>
          <t>VPS-F-006</t>
        </is>
      </c>
      <c r="B7" s="20" t="inlineStr">
        <is>
          <t>Floor-wise slot display</t>
        </is>
      </c>
      <c r="C7" s="20" t="inlineStr">
        <is>
          <t>TC-Slot-02</t>
        </is>
      </c>
      <c r="D7" s="20">
        <f>INDEX('Test Cases'!$I$5:$I$29,MATCH(C7,'Test Cases'!$A$5:$A$29,0))</f>
        <v/>
      </c>
    </row>
    <row r="8" ht="15" customHeight="1" s="11">
      <c r="A8" s="20" t="inlineStr">
        <is>
          <t>VPS-F-007</t>
        </is>
      </c>
      <c r="B8" s="20" t="inlineStr">
        <is>
          <t>Prevent booking occupied slot</t>
        </is>
      </c>
      <c r="C8" s="20" t="inlineStr">
        <is>
          <t>TC-Slot-03</t>
        </is>
      </c>
      <c r="D8" s="20">
        <f>INDEX('Test Cases'!$I$5:$I$29,MATCH(C8,'Test Cases'!$A$5:$A$29,0))</f>
        <v/>
      </c>
    </row>
    <row r="9" ht="15" customHeight="1" s="11">
      <c r="A9" s="20" t="inlineStr">
        <is>
          <t>VPS-F-008</t>
        </is>
      </c>
      <c r="B9" s="20" t="inlineStr">
        <is>
          <t>Book available slot</t>
        </is>
      </c>
      <c r="C9" s="20" t="inlineStr">
        <is>
          <t>TC-Book-01</t>
        </is>
      </c>
      <c r="D9" s="20">
        <f>INDEX('Test Cases'!$I$5:$I$29,MATCH(C9,'Test Cases'!$A$5:$A$29,0))</f>
        <v/>
      </c>
    </row>
    <row r="10" ht="15" customHeight="1" s="11">
      <c r="A10" s="20" t="inlineStr">
        <is>
          <t>VPS-F-009</t>
        </is>
      </c>
      <c r="B10" s="20" t="inlineStr">
        <is>
          <t>Register new vehicle</t>
        </is>
      </c>
      <c r="C10" s="20" t="inlineStr">
        <is>
          <t>TC-Book-02</t>
        </is>
      </c>
      <c r="D10" s="20">
        <f>INDEX('Test Cases'!$I$5:$I$29,MATCH(C10,'Test Cases'!$A$5:$A$29,0))</f>
        <v/>
      </c>
    </row>
    <row r="11" ht="15" customHeight="1" s="11">
      <c r="A11" s="20" t="inlineStr">
        <is>
          <t>VPS-F-010</t>
        </is>
      </c>
      <c r="B11" s="20" t="inlineStr">
        <is>
          <t>Use existing vehicle record</t>
        </is>
      </c>
      <c r="C11" s="20" t="inlineStr">
        <is>
          <t>TC-Book-03</t>
        </is>
      </c>
      <c r="D11" s="20">
        <f>INDEX('Test Cases'!$I$5:$I$29,MATCH(C11,'Test Cases'!$A$5:$A$29,0))</f>
        <v/>
      </c>
    </row>
    <row r="12" ht="15" customHeight="1" s="11">
      <c r="A12" s="20" t="inlineStr">
        <is>
          <t>VPS-F-011</t>
        </is>
      </c>
      <c r="B12" s="20" t="inlineStr">
        <is>
          <t>Record check-in time</t>
        </is>
      </c>
      <c r="C12" s="20" t="inlineStr">
        <is>
          <t>TC-Book-04</t>
        </is>
      </c>
      <c r="D12" s="20">
        <f>INDEX('Test Cases'!$I$5:$I$29,MATCH(C12,'Test Cases'!$A$5:$A$29,0))</f>
        <v/>
      </c>
    </row>
    <row r="13" ht="15" customHeight="1" s="11">
      <c r="A13" s="20" t="inlineStr">
        <is>
          <t>VPS-F-012</t>
        </is>
      </c>
      <c r="B13" s="20" t="inlineStr">
        <is>
          <t>Customer check-out</t>
        </is>
      </c>
      <c r="C13" s="20" t="inlineStr">
        <is>
          <t>TC-Checkout-01</t>
        </is>
      </c>
      <c r="D13" s="20">
        <f>INDEX('Test Cases'!$I$5:$I$29,MATCH(C13,'Test Cases'!$A$5:$A$29,0))</f>
        <v/>
      </c>
    </row>
    <row r="14" ht="15" customHeight="1" s="11">
      <c r="A14" s="20" t="inlineStr">
        <is>
          <t>VPS-F-013</t>
        </is>
      </c>
      <c r="B14" s="20" t="inlineStr">
        <is>
          <t>Check-out authorization</t>
        </is>
      </c>
      <c r="C14" s="20" t="inlineStr">
        <is>
          <t>TC-Checkout-02</t>
        </is>
      </c>
      <c r="D14" s="20">
        <f>INDEX('Test Cases'!$I$5:$I$29,MATCH(C14,'Test Cases'!$A$5:$A$29,0))</f>
        <v/>
      </c>
    </row>
    <row r="15" ht="15" customHeight="1" s="11">
      <c r="A15" s="20" t="inlineStr">
        <is>
          <t>VPS-F-014</t>
        </is>
      </c>
      <c r="B15" s="20" t="inlineStr">
        <is>
          <t>View booking history</t>
        </is>
      </c>
      <c r="C15" s="20" t="inlineStr">
        <is>
          <t>TC-Hist-01</t>
        </is>
      </c>
      <c r="D15" s="20">
        <f>INDEX('Test Cases'!$I$5:$I$29,MATCH(C15,'Test Cases'!$A$5:$A$29,0))</f>
        <v/>
      </c>
    </row>
    <row r="16" ht="15" customHeight="1" s="11">
      <c r="A16" s="20" t="inlineStr">
        <is>
          <t>VPS-F-015</t>
        </is>
      </c>
      <c r="B16" s="20" t="inlineStr">
        <is>
          <t>Admin add parking slot</t>
        </is>
      </c>
      <c r="C16" s="20" t="inlineStr">
        <is>
          <t>TC-Admin-01</t>
        </is>
      </c>
      <c r="D16" s="20">
        <f>INDEX('Test Cases'!$I$5:$I$29,MATCH(C16,'Test Cases'!$A$5:$A$29,0))</f>
        <v/>
      </c>
    </row>
    <row r="17" ht="15" customHeight="1" s="11">
      <c r="A17" s="20" t="inlineStr">
        <is>
          <t>VPS-F-016</t>
        </is>
      </c>
      <c r="B17" s="20" t="inlineStr">
        <is>
          <t>Admin remove available slot</t>
        </is>
      </c>
      <c r="C17" s="20" t="inlineStr">
        <is>
          <t>TC-Admin-02</t>
        </is>
      </c>
      <c r="D17" s="20">
        <f>INDEX('Test Cases'!$I$5:$I$29,MATCH(C17,'Test Cases'!$A$5:$A$29,0))</f>
        <v/>
      </c>
    </row>
    <row r="18" ht="15" customHeight="1" s="11">
      <c r="A18" s="20" t="inlineStr">
        <is>
          <t>VPS-F-017</t>
        </is>
      </c>
      <c r="B18" s="20" t="inlineStr">
        <is>
          <t>Admin view/force checkout</t>
        </is>
      </c>
      <c r="C18" s="20" t="inlineStr">
        <is>
          <t>TC-Admin-03</t>
        </is>
      </c>
      <c r="D18" s="20">
        <f>INDEX('Test Cases'!$I$5:$I$29,MATCH(C18,'Test Cases'!$A$5:$A$29,0))</f>
        <v/>
      </c>
    </row>
    <row r="19" ht="15" customHeight="1" s="11">
      <c r="A19" s="20" t="inlineStr">
        <is>
          <t>VPS-NF-001</t>
        </is>
      </c>
      <c r="B19" s="20" t="inlineStr">
        <is>
          <t>Dashboard response &lt;= 2s for 200 slots</t>
        </is>
      </c>
      <c r="C19" s="20" t="inlineStr">
        <is>
          <t>TC-Perf-01</t>
        </is>
      </c>
      <c r="D19" s="20">
        <f>INDEX('Test Cases'!$I$5:$I$29,MATCH(C19,'Test Cases'!$A$5:$A$29,0))</f>
        <v/>
      </c>
    </row>
    <row r="20" ht="15" customHeight="1" s="11">
      <c r="A20" s="20" t="inlineStr">
        <is>
          <t>VPS-NF-002</t>
        </is>
      </c>
      <c r="B20" s="20" t="inlineStr">
        <is>
          <t>Core actions within 3 clicks</t>
        </is>
      </c>
      <c r="C20" s="20" t="inlineStr">
        <is>
          <t>TC-UX-01</t>
        </is>
      </c>
      <c r="D20" s="20">
        <f>INDEX('Test Cases'!$I$5:$I$29,MATCH(C20,'Test Cases'!$A$5:$A$29,0))</f>
        <v/>
      </c>
    </row>
    <row r="21" ht="15" customHeight="1" s="11">
      <c r="A21" s="20" t="inlineStr">
        <is>
          <t>VPS-NF-003</t>
        </is>
      </c>
      <c r="B21" s="20" t="inlineStr">
        <is>
          <t>Slot status consistent with bookings</t>
        </is>
      </c>
      <c r="C21" s="20" t="inlineStr">
        <is>
          <t>TC-Rel-01</t>
        </is>
      </c>
      <c r="D21" s="20">
        <f>INDEX('Test Cases'!$I$5:$I$29,MATCH(C21,'Test Cases'!$A$5:$A$29,0))</f>
        <v/>
      </c>
    </row>
    <row r="22" ht="15" customHeight="1" s="11">
      <c r="A22" s="20" t="inlineStr">
        <is>
          <t>VPS-NF-004</t>
        </is>
      </c>
      <c r="B22" s="20" t="inlineStr">
        <is>
          <t>Session expires after logout</t>
        </is>
      </c>
      <c r="C22" s="20" t="inlineStr">
        <is>
          <t>TC-Sec-01</t>
        </is>
      </c>
      <c r="D22" s="20">
        <f>INDEX('Test Cases'!$I$5:$I$29,MATCH(C22,'Test Cases'!$A$5:$A$29,0))</f>
        <v/>
      </c>
    </row>
    <row r="23" ht="15" customHeight="1" s="11">
      <c r="A23" s="20" t="inlineStr">
        <is>
          <t>VPS-NF-005</t>
        </is>
      </c>
      <c r="B23" s="20" t="inlineStr">
        <is>
          <t>Models/routes/templates separated</t>
        </is>
      </c>
      <c r="C23" s="20" t="inlineStr">
        <is>
          <t>CR-01</t>
        </is>
      </c>
      <c r="D23" s="20">
        <f>INDEX('Test Cases'!$I$5:$I$29,MATCH(C23,'Test Cases'!$A$5:$A$29,0))</f>
        <v/>
      </c>
    </row>
    <row r="24" ht="15" customHeight="1" s="11">
      <c r="A24" s="20" t="inlineStr">
        <is>
          <t>VPS-SR-001</t>
        </is>
      </c>
      <c r="B24" s="20" t="inlineStr">
        <is>
          <t>Secure password hashing</t>
        </is>
      </c>
      <c r="C24" s="20" t="inlineStr">
        <is>
          <t>TC-Sec-02</t>
        </is>
      </c>
      <c r="D24" s="20">
        <f>INDEX('Test Cases'!$I$5:$I$29,MATCH(C24,'Test Cases'!$A$5:$A$29,0))</f>
        <v/>
      </c>
    </row>
    <row r="25" ht="15" customHeight="1" s="11">
      <c r="A25" s="20" t="inlineStr">
        <is>
          <t>VPS-SR-002</t>
        </is>
      </c>
      <c r="B25" s="20" t="inlineStr">
        <is>
          <t>Admin route authorization</t>
        </is>
      </c>
      <c r="C25" s="20" t="inlineStr">
        <is>
          <t>TC-Sec-03</t>
        </is>
      </c>
      <c r="D25" s="20">
        <f>INDEX('Test Cases'!$I$5:$I$29,MATCH(C25,'Test Cases'!$A$5:$A$29,0))</f>
        <v/>
      </c>
    </row>
    <row r="26" ht="15" customHeight="1" s="11">
      <c r="A26" s="20" t="inlineStr">
        <is>
          <t>VPS-SR-003</t>
        </is>
      </c>
      <c r="B26" s="20" t="inlineStr">
        <is>
          <t>Session invalidation</t>
        </is>
      </c>
      <c r="C26" s="20" t="inlineStr">
        <is>
          <t>TC-Sec-01</t>
        </is>
      </c>
      <c r="D26" s="20">
        <f>INDEX('Test Cases'!$I$5:$I$29,MATCH(C26,'Test Cases'!$A$5:$A$29,0))</f>
        <v/>
      </c>
    </row>
    <row r="27" ht="15" customHeight="1" s="11">
      <c r="A27" s="20" t="inlineStr">
        <is>
          <t>VPS-SR-004</t>
        </is>
      </c>
      <c r="B27" s="20" t="inlineStr">
        <is>
          <t>Input validation and sanitisation</t>
        </is>
      </c>
      <c r="C27" s="20" t="inlineStr">
        <is>
          <t>TC-Sec-04</t>
        </is>
      </c>
      <c r="D27" s="20">
        <f>INDEX('Test Cases'!$I$5:$I$29,MATCH(C27,'Test Cases'!$A$5:$A$29,0))</f>
        <v/>
      </c>
    </row>
    <row r="28" ht="15" customHeight="1" s="11">
      <c r="A28" s="20" t="inlineStr">
        <is>
          <t>VPS-SR-005</t>
        </is>
      </c>
      <c r="B28" s="20" t="inlineStr">
        <is>
          <t>Checkout only for owner/admin</t>
        </is>
      </c>
      <c r="C28" s="20" t="inlineStr">
        <is>
          <t>TC-Checkout-02</t>
        </is>
      </c>
      <c r="D28" s="20">
        <f>INDEX('Test Cases'!$I$5:$I$29,MATCH(C28,'Test Cases'!$A$5:$A$29,0))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style="11" min="1" max="1"/>
    <col width="105" customWidth="1" style="11" min="2" max="2"/>
  </cols>
  <sheetData>
    <row r="1">
      <c r="A1" s="21" t="inlineStr">
        <is>
          <t>Team 10 - Vehicle Parking System</t>
        </is>
      </c>
      <c r="B1" s="21" t="n"/>
    </row>
    <row r="2">
      <c r="A2" s="21" t="inlineStr">
        <is>
          <t>Sprint 1 QA Execution Summary</t>
        </is>
      </c>
      <c r="B2" s="21" t="n"/>
    </row>
    <row r="3">
      <c r="A3" s="10" t="inlineStr">
        <is>
          <t>Tester / QA Lead</t>
        </is>
      </c>
      <c r="B3" s="10" t="inlineStr">
        <is>
          <t>Swapna</t>
        </is>
      </c>
    </row>
    <row r="4">
      <c r="A4" s="10" t="inlineStr">
        <is>
          <t>Execution date</t>
        </is>
      </c>
      <c r="B4" s="10" t="inlineStr">
        <is>
          <t>08-10-2026</t>
        </is>
      </c>
    </row>
    <row r="5">
      <c r="A5" s="10" t="inlineStr">
        <is>
          <t>Automated test command</t>
        </is>
      </c>
      <c r="B5" s="10" t="inlineStr">
        <is>
          <t>venv\Scripts\python.exe -m pytest -v</t>
        </is>
      </c>
    </row>
    <row r="6">
      <c r="A6" s="10" t="inlineStr">
        <is>
          <t>Automated result</t>
        </is>
      </c>
      <c r="B6" s="10" t="inlineStr">
        <is>
          <t>53 tests collected; 53 passed; 0 failed</t>
        </is>
      </c>
    </row>
    <row r="7">
      <c r="A7" s="10" t="inlineStr">
        <is>
          <t>Application check</t>
        </is>
      </c>
      <c r="B7" s="10" t="inlineStr">
        <is>
          <t>Flask application started successfully on http://127.0.0.1:5000</t>
        </is>
      </c>
    </row>
    <row r="8">
      <c r="A8" s="10" t="inlineStr">
        <is>
          <t>Manual checks performed</t>
        </is>
      </c>
      <c r="B8" s="10" t="inlineStr">
        <is>
          <t>Admin add slot; duplicate slot rejection; customer login/dashboard; booking + check-in; occupied-slot prevention; checkout; booking history; slot released after checkout</t>
        </is>
      </c>
    </row>
    <row r="9">
      <c r="A9" s="10" t="inlineStr">
        <is>
          <t>Manual QA note</t>
        </is>
      </c>
      <c r="B9" s="10" t="inlineStr">
        <is>
          <t>TC-UX-01 verified Pass: booking + check-in = 2 clicks; checkout = 2 clicks. Both core customer actions are within 3 clicks.</t>
        </is>
      </c>
    </row>
    <row r="10">
      <c r="A10" s="10" t="inlineStr">
        <is>
          <t>RTM action</t>
        </is>
      </c>
      <c r="B10" s="10" t="inlineStr">
        <is>
          <t>Corrected automated test mappings to match the actual pytest function names in the project test files.</t>
        </is>
      </c>
    </row>
    <row r="11">
      <c r="A11" s="10" t="inlineStr">
        <is>
          <t>Status</t>
        </is>
      </c>
      <c r="B11" s="10" t="inlineStr">
        <is>
          <t>QA execution documented; TC-UX-01 verified Pass; ready for branch commit.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4" customWidth="1" style="11" min="1" max="1"/>
    <col width="75" customWidth="1" style="11" min="2" max="2"/>
    <col width="18" customWidth="1" style="11" min="3" max="3"/>
  </cols>
  <sheetData>
    <row r="1">
      <c r="A1" t="inlineStr">
        <is>
          <t>TC-UX-01</t>
        </is>
      </c>
      <c r="B1" t="inlineStr">
        <is>
          <t>Core actions within 3 clicks</t>
        </is>
      </c>
      <c r="C1" t="inlineStr">
        <is>
          <t>PASS</t>
        </is>
      </c>
    </row>
    <row r="2">
      <c r="A2" t="inlineStr">
        <is>
          <t>Booking + Check-in</t>
        </is>
      </c>
      <c r="B2" t="inlineStr">
        <is>
          <t>F1-01 → Book &amp; Check-in</t>
        </is>
      </c>
      <c r="C2" t="inlineStr">
        <is>
          <t>2 clicks</t>
        </is>
      </c>
    </row>
    <row r="3">
      <c r="A3" t="inlineStr">
        <is>
          <t>Checkout</t>
        </is>
      </c>
      <c r="B3" t="inlineStr">
        <is>
          <t>My Bookings → Check out</t>
        </is>
      </c>
      <c r="C3" t="inlineStr">
        <is>
          <t>2 clicks</t>
        </is>
      </c>
    </row>
    <row r="4">
      <c r="A4" t="inlineStr">
        <is>
          <t>Conclusion</t>
        </is>
      </c>
      <c r="B4" t="inlineStr">
        <is>
          <t>Both observed core customer actions are within the 3-click requirement.</t>
        </is>
      </c>
      <c r="C4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2026-10-01T14:55:31Z</dcterms:created>
  <dcterms:modified xmlns:dcterms="http://purl.org/dc/terms/" xmlns:xsi="http://www.w3.org/2001/XMLSchema-instance" xsi:type="dcterms:W3CDTF">2026-10-08T14:11:40Z</dcterms:modified>
  <cp:revision>0</cp:revision>
</cp:coreProperties>
</file>